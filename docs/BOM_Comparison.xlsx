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단가·기능 비교" sheetId="1" state="visible" r:id="rId3"/>
    <sheet name="카메라·광학" sheetId="2" state="visible" r:id="rId4"/>
    <sheet name="최초 견적 (참고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<sst xmlns="http://schemas.openxmlformats.org/spreadsheetml/2006/main" count="273" uniqueCount="253">
  <si>
    <r>
      <rPr>
        <b val="true"/>
        <sz val="15"/>
        <color rgb="FF1F3864"/>
        <rFont val="맑은 고딕"/>
        <family val="0"/>
        <charset val="1"/>
      </rPr>
      <t xml:space="preserve">BOM </t>
    </r>
    <r>
      <rPr>
        <b val="true"/>
        <sz val="15"/>
        <color rgb="FF1F3864"/>
        <rFont val="WenQuanYi Zen Hei"/>
        <family val="2"/>
      </rPr>
      <t xml:space="preserve">단가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기능 비교  </t>
    </r>
    <r>
      <rPr>
        <b val="true"/>
        <sz val="15"/>
        <color rgb="FF1F3864"/>
        <rFont val="맑은 고딕"/>
        <family val="0"/>
        <charset val="1"/>
      </rPr>
      <t xml:space="preserve">|  1</t>
    </r>
    <r>
      <rPr>
        <b val="true"/>
        <sz val="15"/>
        <color rgb="FF1F3864"/>
        <rFont val="WenQuanYi Zen Hei"/>
        <family val="2"/>
      </rPr>
      <t xml:space="preserve">안 </t>
    </r>
    <r>
      <rPr>
        <b val="true"/>
        <sz val="15"/>
        <color rgb="FF1F3864"/>
        <rFont val="맑은 고딕"/>
        <family val="0"/>
        <charset val="1"/>
      </rPr>
      <t xml:space="preserve">RV1106G3 </t>
    </r>
    <r>
      <rPr>
        <b val="true"/>
        <sz val="15"/>
        <color rgb="FF1F3864"/>
        <rFont val="WenQuanYi Zen Hei"/>
        <family val="2"/>
      </rPr>
      <t xml:space="preserve">기반  </t>
    </r>
    <r>
      <rPr>
        <b val="true"/>
        <sz val="15"/>
        <color rgb="FF1F3864"/>
        <rFont val="맑은 고딕"/>
        <family val="0"/>
        <charset val="1"/>
      </rPr>
      <t xml:space="preserve">vs  2</t>
    </r>
    <r>
      <rPr>
        <b val="true"/>
        <sz val="15"/>
        <color rgb="FF1F3864"/>
        <rFont val="WenQuanYi Zen Hei"/>
        <family val="2"/>
      </rPr>
      <t xml:space="preserve">안 비컨제품 </t>
    </r>
    <r>
      <rPr>
        <b val="true"/>
        <sz val="15"/>
        <color rgb="FF1F3864"/>
        <rFont val="맑은 고딕"/>
        <family val="0"/>
        <charset val="1"/>
      </rPr>
      <t xml:space="preserve">(PX30 </t>
    </r>
    <r>
      <rPr>
        <b val="true"/>
        <sz val="15"/>
        <color rgb="FF1F3864"/>
        <rFont val="WenQuanYi Zen Hei"/>
        <family val="2"/>
      </rPr>
      <t xml:space="preserve">기반</t>
    </r>
    <r>
      <rPr>
        <b val="true"/>
        <sz val="15"/>
        <color rgb="FF1F3864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</si>
  <si>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단위</t>
    </r>
    <r>
      <rPr>
        <i val="true"/>
        <sz val="9"/>
        <color rgb="FF7F7F7F"/>
        <rFont val="맑은 고딕"/>
        <family val="0"/>
        <charset val="1"/>
      </rPr>
      <t xml:space="preserve">: </t>
    </r>
    <r>
      <rPr>
        <i val="true"/>
        <sz val="9"/>
        <color rgb="FF7F7F7F"/>
        <rFont val="WenQuanYi Zen Hei"/>
        <family val="2"/>
      </rPr>
      <t xml:space="preserve">원</t>
    </r>
    <r>
      <rPr>
        <i val="true"/>
        <sz val="9"/>
        <color rgb="FF7F7F7F"/>
        <rFont val="맑은 고딕"/>
        <family val="0"/>
        <charset val="1"/>
      </rPr>
      <t xml:space="preserve">(VAT </t>
    </r>
    <r>
      <rPr>
        <i val="true"/>
        <sz val="9"/>
        <color rgb="FF7F7F7F"/>
        <rFont val="WenQuanYi Zen Hei"/>
        <family val="2"/>
      </rPr>
      <t xml:space="preserve">별도</t>
    </r>
    <r>
      <rPr>
        <i val="true"/>
        <sz val="9"/>
        <color rgb="FF7F7F7F"/>
        <rFont val="맑은 고딕"/>
        <family val="0"/>
        <charset val="1"/>
      </rPr>
      <t xml:space="preserve">) · </t>
    </r>
    <r>
      <rPr>
        <i val="true"/>
        <sz val="9"/>
        <color rgb="FF7F7F7F"/>
        <rFont val="WenQuanYi Zen Hei"/>
        <family val="2"/>
      </rPr>
      <t xml:space="preserve">수량 </t>
    </r>
    <r>
      <rPr>
        <i val="true"/>
        <sz val="9"/>
        <color rgb="FF7F7F7F"/>
        <rFont val="맑은 고딕"/>
        <family val="0"/>
        <charset val="1"/>
      </rPr>
      <t xml:space="preserve">1</t>
    </r>
    <r>
      <rPr>
        <i val="true"/>
        <sz val="9"/>
        <color rgb="FF7F7F7F"/>
        <rFont val="WenQuanYi Zen Hei"/>
        <family val="2"/>
      </rPr>
      <t xml:space="preserve">대 기준 </t>
    </r>
    <r>
      <rPr>
        <i val="true"/>
        <sz val="9"/>
        <color rgb="FF7F7F7F"/>
        <rFont val="맑은 고딕"/>
        <family val="0"/>
        <charset val="1"/>
      </rPr>
      <t xml:space="preserve">· </t>
    </r>
    <r>
      <rPr>
        <i val="true"/>
        <sz val="9"/>
        <color rgb="FF7F7F7F"/>
        <rFont val="WenQuanYi Zen Hei"/>
        <family val="2"/>
      </rPr>
      <t xml:space="preserve">카메라 모듈은 양쪽 모두 단가에 미포함 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아래 기능 비교 참고</t>
    </r>
    <r>
      <rPr>
        <i val="true"/>
        <sz val="9"/>
        <color rgb="FF7F7F7F"/>
        <rFont val="맑은 고딕"/>
        <family val="0"/>
        <charset val="1"/>
      </rPr>
      <t xml:space="preserve">)</t>
    </r>
  </si>
  <si>
    <r>
      <rPr>
        <b val="true"/>
        <sz val="12"/>
        <color rgb="FF1F3864"/>
        <rFont val="맑은 고딕"/>
        <family val="0"/>
        <charset val="1"/>
      </rPr>
      <t xml:space="preserve">■ 1. BOM </t>
    </r>
    <r>
      <rPr>
        <b val="true"/>
        <sz val="12"/>
        <color rgb="FF1F3864"/>
        <rFont val="WenQuanYi Zen Hei"/>
        <family val="2"/>
      </rPr>
      <t xml:space="preserve">단가</t>
    </r>
  </si>
  <si>
    <t xml:space="preserve">구분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</si>
  <si>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안 부품</t>
    </r>
  </si>
  <si>
    <r>
      <rPr>
        <b val="true"/>
        <sz val="10"/>
        <color rgb="FFFFFFFF"/>
        <rFont val="WenQuanYi Zen Hei"/>
        <family val="2"/>
      </rPr>
      <t xml:space="preserve">단가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</si>
  <si>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안 비컨제품</t>
    </r>
  </si>
  <si>
    <t xml:space="preserve">비고</t>
  </si>
  <si>
    <r>
      <rPr>
        <b val="true"/>
        <sz val="10"/>
        <rFont val="WenQuanYi Zen Hei"/>
        <family val="2"/>
      </rPr>
      <t xml:space="preserve">메인 </t>
    </r>
    <r>
      <rPr>
        <b val="true"/>
        <sz val="10"/>
        <rFont val="맑은 고딕"/>
        <family val="0"/>
        <charset val="1"/>
      </rPr>
      <t xml:space="preserve">SoC</t>
    </r>
  </si>
  <si>
    <t xml:space="preserve">RV1106G3 (Rockchip)</t>
  </si>
  <si>
    <t xml:space="preserve">PX30 (Rockchip)</t>
  </si>
  <si>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 단가는 샘플 추정치이며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중국 현지 도매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알리바바 대량 공급사 및 락칩 대리점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를 통해 </t>
    </r>
    <r>
      <rPr>
        <sz val="9"/>
        <color rgb="FF404040"/>
        <rFont val="맑은 고딕"/>
        <family val="0"/>
        <charset val="1"/>
      </rPr>
      <t xml:space="preserve">1,000</t>
    </r>
    <r>
      <rPr>
        <sz val="9"/>
        <color rgb="FF404040"/>
        <rFont val="WenQuanYi Zen Hei"/>
        <family val="2"/>
      </rPr>
      <t xml:space="preserve">개 단위</t>
    </r>
    <r>
      <rPr>
        <sz val="9"/>
        <color rgb="FF404040"/>
        <rFont val="맑은 고딕"/>
        <family val="0"/>
        <charset val="1"/>
      </rPr>
      <t xml:space="preserve">(1 Tray </t>
    </r>
    <r>
      <rPr>
        <sz val="9"/>
        <color rgb="FF404040"/>
        <rFont val="WenQuanYi Zen Hei"/>
        <family val="2"/>
      </rPr>
      <t xml:space="preserve">단위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통상 </t>
    </r>
    <r>
      <rPr>
        <sz val="9"/>
        <color rgb="FF404040"/>
        <rFont val="맑은 고딕"/>
        <family val="0"/>
        <charset val="1"/>
      </rPr>
      <t xml:space="preserve">1 MOQ</t>
    </r>
    <r>
      <rPr>
        <sz val="9"/>
        <color rgb="FF404040"/>
        <rFont val="WenQuanYi Zen Hei"/>
        <family val="2"/>
      </rPr>
      <t xml:space="preserve">가 약 </t>
    </r>
    <r>
      <rPr>
        <sz val="9"/>
        <color rgb="FF404040"/>
        <rFont val="맑은 고딕"/>
        <family val="0"/>
        <charset val="1"/>
      </rPr>
      <t xml:space="preserve">1,520</t>
    </r>
    <r>
      <rPr>
        <sz val="9"/>
        <color rgb="FF404040"/>
        <rFont val="WenQuanYi Zen Hei"/>
        <family val="2"/>
      </rPr>
      <t xml:space="preserve">개 내외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로 정식 견적을 받으면 내려갈 수 있음</t>
    </r>
    <r>
      <rPr>
        <sz val="9"/>
        <color rgb="FF404040"/>
        <rFont val="맑은 고딕"/>
        <family val="0"/>
        <charset val="1"/>
      </rPr>
      <t xml:space="preserve">.</t>
    </r>
  </si>
  <si>
    <t xml:space="preserve">RAM</t>
  </si>
  <si>
    <r>
      <rPr>
        <sz val="10"/>
        <rFont val="맑은 고딕"/>
        <family val="0"/>
        <charset val="1"/>
      </rPr>
      <t xml:space="preserve">SoC </t>
    </r>
    <r>
      <rPr>
        <sz val="10"/>
        <rFont val="WenQuanYi Zen Hei"/>
        <family val="2"/>
      </rPr>
      <t xml:space="preserve">내장형 </t>
    </r>
    <r>
      <rPr>
        <sz val="10"/>
        <rFont val="맑은 고딕"/>
        <family val="0"/>
        <charset val="1"/>
      </rPr>
      <t xml:space="preserve">(SIP Memory)</t>
    </r>
  </si>
  <si>
    <r>
      <rPr>
        <sz val="10"/>
        <rFont val="맑은 고딕"/>
        <family val="0"/>
        <charset val="1"/>
      </rPr>
      <t xml:space="preserve">H5TQ4G63EFR (SK Hynix) × 2</t>
    </r>
    <r>
      <rPr>
        <sz val="10"/>
        <rFont val="WenQuanYi Zen Hei"/>
        <family val="2"/>
      </rPr>
      <t xml:space="preserve">개</t>
    </r>
  </si>
  <si>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안은 </t>
    </r>
    <r>
      <rPr>
        <sz val="9"/>
        <color rgb="FF404040"/>
        <rFont val="맑은 고딕"/>
        <family val="0"/>
        <charset val="1"/>
      </rPr>
      <t xml:space="preserve">SoC</t>
    </r>
    <r>
      <rPr>
        <sz val="9"/>
        <color rgb="FF404040"/>
        <rFont val="WenQuanYi Zen Hei"/>
        <family val="2"/>
      </rPr>
      <t xml:space="preserve">에 내장되어 추가 비용 없음</t>
    </r>
    <r>
      <rPr>
        <sz val="9"/>
        <color rgb="FF404040"/>
        <rFont val="맑은 고딕"/>
        <family val="0"/>
        <charset val="1"/>
      </rPr>
      <t xml:space="preserve">. 2</t>
    </r>
    <r>
      <rPr>
        <sz val="9"/>
        <color rgb="FF404040"/>
        <rFont val="WenQuanYi Zen Hei"/>
        <family val="2"/>
      </rPr>
      <t xml:space="preserve">안은 </t>
    </r>
    <r>
      <rPr>
        <sz val="9"/>
        <color rgb="FF404040"/>
        <rFont val="맑은 고딕"/>
        <family val="0"/>
        <charset val="1"/>
      </rPr>
      <t xml:space="preserve">17,100</t>
    </r>
    <r>
      <rPr>
        <sz val="9"/>
        <color rgb="FF404040"/>
        <rFont val="WenQuanYi Zen Hei"/>
        <family val="2"/>
      </rPr>
      <t xml:space="preserve">원 </t>
    </r>
    <r>
      <rPr>
        <sz val="9"/>
        <color rgb="FF404040"/>
        <rFont val="맑은 고딕"/>
        <family val="0"/>
        <charset val="1"/>
      </rPr>
      <t xml:space="preserve">× 2</t>
    </r>
    <r>
      <rPr>
        <sz val="9"/>
        <color rgb="FF404040"/>
        <rFont val="WenQuanYi Zen Hei"/>
        <family val="2"/>
      </rPr>
      <t xml:space="preserve">개 </t>
    </r>
    <r>
      <rPr>
        <sz val="9"/>
        <color rgb="FF404040"/>
        <rFont val="맑은 고딕"/>
        <family val="0"/>
        <charset val="1"/>
      </rPr>
      <t xml:space="preserve">= 34,200</t>
    </r>
    <r>
      <rPr>
        <sz val="9"/>
        <color rgb="FF404040"/>
        <rFont val="WenQuanYi Zen Hei"/>
        <family val="2"/>
      </rPr>
      <t xml:space="preserve">원으로 </t>
    </r>
    <r>
      <rPr>
        <sz val="9"/>
        <color rgb="FF404040"/>
        <rFont val="맑은 고딕"/>
        <family val="0"/>
        <charset val="1"/>
      </rPr>
      <t xml:space="preserve">BOM </t>
    </r>
    <r>
      <rPr>
        <sz val="9"/>
        <color rgb="FF404040"/>
        <rFont val="WenQuanYi Zen Hei"/>
        <family val="2"/>
      </rPr>
      <t xml:space="preserve">최대 비중</t>
    </r>
    <r>
      <rPr>
        <sz val="9"/>
        <color rgb="FF404040"/>
        <rFont val="맑은 고딕"/>
        <family val="0"/>
        <charset val="1"/>
      </rPr>
      <t xml:space="preserve">.</t>
    </r>
  </si>
  <si>
    <t xml:space="preserve">eMMC</t>
  </si>
  <si>
    <t xml:space="preserve">KLM8G1GETF (Samsung 8GB)</t>
  </si>
  <si>
    <t xml:space="preserve">KLMAG1JETD (Samsung 16GB)</t>
  </si>
  <si>
    <r>
      <rPr>
        <sz val="9"/>
        <color rgb="FF404040"/>
        <rFont val="WenQuanYi Zen Hei"/>
        <family val="2"/>
      </rPr>
      <t xml:space="preserve">단가 변동 있음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용량이 </t>
    </r>
    <r>
      <rPr>
        <sz val="9"/>
        <color rgb="FF404040"/>
        <rFont val="맑은 고딕"/>
        <family val="0"/>
        <charset val="1"/>
      </rPr>
      <t xml:space="preserve">8GB vs 16GB</t>
    </r>
    <r>
      <rPr>
        <sz val="9"/>
        <color rgb="FF404040"/>
        <rFont val="WenQuanYi Zen Hei"/>
        <family val="2"/>
      </rPr>
      <t xml:space="preserve">로 달라 동일 조건 비교는 아님</t>
    </r>
    <r>
      <rPr>
        <sz val="9"/>
        <color rgb="FF404040"/>
        <rFont val="맑은 고딕"/>
        <family val="0"/>
        <charset val="1"/>
      </rPr>
      <t xml:space="preserve">.</t>
    </r>
  </si>
  <si>
    <t xml:space="preserve">wifi+BL</t>
  </si>
  <si>
    <t xml:space="preserve">SKLWB800DCS.2 (WiFi)</t>
  </si>
  <si>
    <r>
      <rPr>
        <sz val="10"/>
        <rFont val="맑은 고딕"/>
        <family val="0"/>
        <charset val="1"/>
      </rPr>
      <t xml:space="preserve">AP6212 (WiFi/BLE </t>
    </r>
    <r>
      <rPr>
        <sz val="10"/>
        <rFont val="WenQuanYi Zen Hei"/>
        <family val="2"/>
      </rPr>
      <t xml:space="preserve">콤보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</si>
  <si>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WenQuanYi Zen Hei"/>
        <family val="2"/>
      </rPr>
      <t xml:space="preserve">구분은 </t>
    </r>
    <r>
      <rPr>
        <sz val="9"/>
        <color rgb="FF404040"/>
        <rFont val="맑은 고딕"/>
        <family val="0"/>
        <charset val="1"/>
      </rPr>
      <t xml:space="preserve">wifi+BL</t>
    </r>
    <r>
      <rPr>
        <sz val="9"/>
        <color rgb="FF404040"/>
        <rFont val="WenQuanYi Zen Hei"/>
        <family val="2"/>
      </rPr>
      <t xml:space="preserve">인데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 모듈은 표기상 </t>
    </r>
    <r>
      <rPr>
        <sz val="9"/>
        <color rgb="FF404040"/>
        <rFont val="맑은 고딕"/>
        <family val="0"/>
        <charset val="1"/>
      </rPr>
      <t xml:space="preserve">WiFi </t>
    </r>
    <r>
      <rPr>
        <sz val="9"/>
        <color rgb="FF404040"/>
        <rFont val="WenQuanYi Zen Hei"/>
        <family val="2"/>
      </rPr>
      <t xml:space="preserve">전용임</t>
    </r>
    <r>
      <rPr>
        <sz val="9"/>
        <color rgb="FF404040"/>
        <rFont val="맑은 고딕"/>
        <family val="0"/>
        <charset val="1"/>
      </rPr>
      <t xml:space="preserve">. BLE</t>
    </r>
    <r>
      <rPr>
        <sz val="9"/>
        <color rgb="FF404040"/>
        <rFont val="WenQuanYi Zen Hei"/>
        <family val="2"/>
      </rPr>
      <t xml:space="preserve">가 필수 사양이면 콤보 모듈로 교체해야 하고 단가가 올라갈 수 있음 → 공급사 확인 필요</t>
    </r>
    <r>
      <rPr>
        <sz val="9"/>
        <color rgb="FF404040"/>
        <rFont val="맑은 고딕"/>
        <family val="0"/>
        <charset val="1"/>
      </rPr>
      <t xml:space="preserve">.</t>
    </r>
  </si>
  <si>
    <t xml:space="preserve">합계</t>
  </si>
  <si>
    <r>
      <rPr>
        <sz val="9"/>
        <color rgb="FF404040"/>
        <rFont val="WenQuanYi Zen Hei"/>
        <family val="2"/>
      </rPr>
      <t xml:space="preserve">카메라 모듈 미포함 기준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양쪽 동일 조건으로 비교한 값임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</si>
  <si>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맑은 고딕"/>
        <family val="0"/>
        <charset val="1"/>
      </rPr>
      <t xml:space="preserve">■ 2. </t>
    </r>
    <r>
      <rPr>
        <b val="true"/>
        <sz val="12"/>
        <color rgb="FF1F3864"/>
        <rFont val="WenQuanYi Zen Hei"/>
        <family val="2"/>
      </rPr>
      <t xml:space="preserve">기능 </t>
    </r>
    <r>
      <rPr>
        <b val="true"/>
        <sz val="12"/>
        <color rgb="FF1F3864"/>
        <rFont val="맑은 고딕"/>
        <family val="0"/>
        <charset val="1"/>
      </rPr>
      <t xml:space="preserve">· </t>
    </r>
    <r>
      <rPr>
        <b val="true"/>
        <sz val="12"/>
        <color rgb="FF1F3864"/>
        <rFont val="WenQuanYi Zen Hei"/>
        <family val="2"/>
      </rPr>
      <t xml:space="preserve">사양 비교</t>
    </r>
  </si>
  <si>
    <t xml:space="preserve">항목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</si>
  <si>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안 </t>
    </r>
    <r>
      <rPr>
        <b val="true"/>
        <sz val="10"/>
        <color rgb="FFFFFFFF"/>
        <rFont val="맑은 고딕"/>
        <family val="0"/>
        <charset val="1"/>
      </rPr>
      <t xml:space="preserve">(RV1106G3)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</si>
  <si>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안 비컨제품 </t>
    </r>
    <r>
      <rPr>
        <b val="true"/>
        <sz val="10"/>
        <color rgb="FFFFFFFF"/>
        <rFont val="맑은 고딕"/>
        <family val="0"/>
        <charset val="1"/>
      </rPr>
      <t xml:space="preserve">(PX30)</t>
    </r>
  </si>
  <si>
    <t xml:space="preserve">카메라 화소</t>
  </si>
  <si>
    <t xml:space="preserve">3MP — SC3336 (2304×1296)</t>
  </si>
  <si>
    <r>
      <rPr>
        <sz val="10"/>
        <rFont val="맑은 고딕"/>
        <family val="0"/>
        <charset val="1"/>
      </rPr>
      <t xml:space="preserve">64MP (</t>
    </r>
    <r>
      <rPr>
        <sz val="10"/>
        <rFont val="WenQuanYi Zen Hei"/>
        <family val="2"/>
      </rPr>
      <t xml:space="preserve">제품 표기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</si>
  <si>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맑은 고딕"/>
        <family val="0"/>
        <charset val="1"/>
      </rPr>
      <t xml:space="preserve">RV1106G3</t>
    </r>
    <r>
      <rPr>
        <sz val="9"/>
        <color rgb="FF404040"/>
        <rFont val="WenQuanYi Zen Hei"/>
        <family val="2"/>
      </rPr>
      <t xml:space="preserve">의 </t>
    </r>
    <r>
      <rPr>
        <sz val="9"/>
        <color rgb="FF404040"/>
        <rFont val="맑은 고딕"/>
        <family val="0"/>
        <charset val="1"/>
      </rPr>
      <t xml:space="preserve">ISP </t>
    </r>
    <r>
      <rPr>
        <sz val="9"/>
        <color rgb="FF404040"/>
        <rFont val="WenQuanYi Zen Hei"/>
        <family val="2"/>
      </rPr>
      <t xml:space="preserve">상한은 </t>
    </r>
    <r>
      <rPr>
        <sz val="9"/>
        <color rgb="FF404040"/>
        <rFont val="맑은 고딕"/>
        <family val="0"/>
        <charset val="1"/>
      </rPr>
      <t xml:space="preserve">8MP@15fps</t>
    </r>
    <r>
      <rPr>
        <sz val="9"/>
        <color rgb="FF404040"/>
        <rFont val="WenQuanYi Zen Hei"/>
        <family val="2"/>
      </rPr>
      <t xml:space="preserve">라 </t>
    </r>
    <r>
      <rPr>
        <sz val="9"/>
        <color rgb="FF404040"/>
        <rFont val="맑은 고딕"/>
        <family val="0"/>
        <charset val="1"/>
      </rPr>
      <t xml:space="preserve">64MP </t>
    </r>
    <r>
      <rPr>
        <sz val="9"/>
        <color rgb="FF404040"/>
        <rFont val="WenQuanYi Zen Hei"/>
        <family val="2"/>
      </rPr>
      <t xml:space="preserve">센서를 그대로 받지 못함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다만 </t>
    </r>
    <r>
      <rPr>
        <sz val="9"/>
        <color rgb="FF404040"/>
        <rFont val="맑은 고딕"/>
        <family val="0"/>
        <charset val="1"/>
      </rPr>
      <t xml:space="preserve">PX30</t>
    </r>
    <r>
      <rPr>
        <sz val="9"/>
        <color rgb="FF404040"/>
        <rFont val="WenQuanYi Zen Hei"/>
        <family val="2"/>
      </rPr>
      <t xml:space="preserve">의 </t>
    </r>
    <r>
      <rPr>
        <sz val="9"/>
        <color rgb="FF404040"/>
        <rFont val="맑은 고딕"/>
        <family val="0"/>
        <charset val="1"/>
      </rPr>
      <t xml:space="preserve">ISP</t>
    </r>
    <r>
      <rPr>
        <sz val="9"/>
        <color rgb="FF404040"/>
        <rFont val="WenQuanYi Zen Hei"/>
        <family val="2"/>
      </rPr>
      <t xml:space="preserve">도 상한이 </t>
    </r>
    <r>
      <rPr>
        <sz val="9"/>
        <color rgb="FF404040"/>
        <rFont val="맑은 고딕"/>
        <family val="0"/>
        <charset val="1"/>
      </rPr>
      <t xml:space="preserve">8MP</t>
    </r>
    <r>
      <rPr>
        <sz val="9"/>
        <color rgb="FF404040"/>
        <rFont val="WenQuanYi Zen Hei"/>
        <family val="2"/>
      </rPr>
      <t xml:space="preserve">이므로 </t>
    </r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안 역시 </t>
    </r>
    <r>
      <rPr>
        <sz val="9"/>
        <color rgb="FF404040"/>
        <rFont val="맑은 고딕"/>
        <family val="0"/>
        <charset val="1"/>
      </rPr>
      <t xml:space="preserve">64MP</t>
    </r>
    <r>
      <rPr>
        <sz val="9"/>
        <color rgb="FF404040"/>
        <rFont val="WenQuanYi Zen Hei"/>
        <family val="2"/>
      </rPr>
      <t xml:space="preserve">를 실시간 처리하지는 못함 — 센서 내부 비닝 출력이거나 스틸 전용 경로일 가능성이 높아 공급사 확인 필요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</si>
  <si>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접사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배율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</si>
  <si>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M12 </t>
    </r>
    <r>
      <rPr>
        <sz val="10"/>
        <rFont val="WenQuanYi Zen Hei"/>
        <family val="2"/>
      </rPr>
      <t xml:space="preserve">렌즈 연장으로 시야 폭 </t>
    </r>
    <r>
      <rPr>
        <sz val="10"/>
        <rFont val="맑은 고딕"/>
        <family val="0"/>
        <charset val="1"/>
      </rPr>
      <t xml:space="preserve">2~3mm(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200</t>
    </r>
    <r>
      <rPr>
        <sz val="10"/>
        <rFont val="WenQuanYi Zen Hei"/>
        <family val="2"/>
      </rPr>
      <t xml:space="preserve">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확보</t>
    </r>
  </si>
  <si>
    <t xml:space="preserve">확인 필요</t>
  </si>
  <si>
    <r>
      <rPr>
        <sz val="9"/>
        <color rgb="FF404040"/>
        <rFont val="WenQuanYi Zen Hei"/>
        <family val="2"/>
      </rPr>
      <t xml:space="preserve">접사는 </t>
    </r>
    <r>
      <rPr>
        <sz val="9"/>
        <color rgb="FF404040"/>
        <rFont val="맑은 고딕"/>
        <family val="0"/>
        <charset val="1"/>
      </rPr>
      <t xml:space="preserve">SoC</t>
    </r>
    <r>
      <rPr>
        <sz val="9"/>
        <color rgb="FF404040"/>
        <rFont val="WenQuanYi Zen Hei"/>
        <family val="2"/>
      </rPr>
      <t xml:space="preserve">가 아니라 렌즈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조명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거리 고정이 결정함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양쪽 모두 광학 설계에 좌우되며 칩 선택과 무관함</t>
    </r>
    <r>
      <rPr>
        <sz val="9"/>
        <color rgb="FF404040"/>
        <rFont val="맑은 고딕"/>
        <family val="0"/>
        <charset val="1"/>
      </rPr>
      <t xml:space="preserve">. (docs/scalp-scope.md)</t>
    </r>
  </si>
  <si>
    <t xml:space="preserve">두피 관찰 해상력</t>
  </si>
  <si>
    <r>
      <rPr>
        <sz val="10"/>
        <rFont val="WenQuanYi Zen Hei"/>
        <family val="2"/>
      </rPr>
      <t xml:space="preserve">픽셀당 </t>
    </r>
    <r>
      <rPr>
        <sz val="10"/>
        <rFont val="맑은 고딕"/>
        <family val="0"/>
        <charset val="1"/>
      </rPr>
      <t xml:space="preserve">0.87μm — </t>
    </r>
    <r>
      <rPr>
        <sz val="10"/>
        <rFont val="WenQuanYi Zen Hei"/>
        <family val="2"/>
      </rPr>
      <t xml:space="preserve">머리카락</t>
    </r>
    <r>
      <rPr>
        <sz val="10"/>
        <rFont val="맑은 고딕"/>
        <family val="0"/>
        <charset val="1"/>
      </rPr>
      <t xml:space="preserve">(70μm)</t>
    </r>
    <r>
      <rPr>
        <sz val="10"/>
        <rFont val="WenQuanYi Zen Hei"/>
        <family val="2"/>
      </rPr>
      <t xml:space="preserve">이 약 </t>
    </r>
    <r>
      <rPr>
        <sz val="10"/>
        <rFont val="맑은 고딕"/>
        <family val="0"/>
        <charset val="1"/>
      </rPr>
      <t xml:space="preserve">80</t>
    </r>
    <r>
      <rPr>
        <sz val="10"/>
        <rFont val="WenQuanYi Zen Hei"/>
        <family val="2"/>
      </rPr>
      <t xml:space="preserve">픽셀</t>
    </r>
  </si>
  <si>
    <t xml:space="preserve">화소는 높으나 광학 사양 미확인</t>
  </si>
  <si>
    <r>
      <rPr>
        <sz val="9"/>
        <color rgb="FF404040"/>
        <rFont val="맑은 고딕"/>
        <family val="0"/>
        <charset val="1"/>
      </rPr>
      <t xml:space="preserve">3MP</t>
    </r>
    <r>
      <rPr>
        <sz val="9"/>
        <color rgb="FF404040"/>
        <rFont val="WenQuanYi Zen Hei"/>
        <family val="2"/>
      </rPr>
      <t xml:space="preserve">로 모공 위치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모공당 모발 개수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모발 굵기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각질 관찰에 충분함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화소 숫자보다 광학과 조명이 결과를 가름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</si>
  <si>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영상 인코딩</t>
  </si>
  <si>
    <r>
      <rPr>
        <sz val="10"/>
        <rFont val="맑은 고딕"/>
        <family val="0"/>
        <charset val="1"/>
      </rPr>
      <t xml:space="preserve">H.264 + H.265 </t>
    </r>
    <r>
      <rPr>
        <sz val="10"/>
        <rFont val="WenQuanYi Zen Hei"/>
        <family val="2"/>
      </rPr>
      <t xml:space="preserve">하드웨어 인코딩</t>
    </r>
  </si>
  <si>
    <r>
      <rPr>
        <sz val="10"/>
        <rFont val="맑은 고딕"/>
        <family val="0"/>
        <charset val="1"/>
      </rPr>
      <t xml:space="preserve">H.264 1080p@30 (H.265 </t>
    </r>
    <r>
      <rPr>
        <sz val="10"/>
        <rFont val="WenQuanYi Zen Hei"/>
        <family val="2"/>
      </rPr>
      <t xml:space="preserve">인코딩 없음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</si>
  <si>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맑은 고딕"/>
        <family val="0"/>
        <charset val="1"/>
      </rPr>
      <t xml:space="preserve">H.265</t>
    </r>
    <r>
      <rPr>
        <sz val="9"/>
        <color rgb="FF404040"/>
        <rFont val="WenQuanYi Zen Hei"/>
        <family val="2"/>
      </rPr>
      <t xml:space="preserve">는 같은 화질에서 비트레이트가 더 낮아 </t>
    </r>
    <r>
      <rPr>
        <sz val="9"/>
        <color rgb="FF404040"/>
        <rFont val="맑은 고딕"/>
        <family val="0"/>
        <charset val="1"/>
      </rPr>
      <t xml:space="preserve">WiFi </t>
    </r>
    <r>
      <rPr>
        <sz val="9"/>
        <color rgb="FF404040"/>
        <rFont val="WenQuanYi Zen Hei"/>
        <family val="2"/>
      </rPr>
      <t xml:space="preserve">전송에 유리함</t>
    </r>
    <r>
      <rPr>
        <sz val="9"/>
        <color rgb="FF404040"/>
        <rFont val="맑은 고딕"/>
        <family val="0"/>
        <charset val="1"/>
      </rPr>
      <t xml:space="preserve">. 1</t>
    </r>
    <r>
      <rPr>
        <sz val="9"/>
        <color rgb="FF404040"/>
        <rFont val="WenQuanYi Zen Hei"/>
        <family val="2"/>
      </rPr>
      <t xml:space="preserve">안만 지원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</si>
  <si>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NPU (</t>
    </r>
    <r>
      <rPr>
        <b val="true"/>
        <sz val="10"/>
        <rFont val="WenQuanYi Zen Hei"/>
        <family val="2"/>
      </rPr>
      <t xml:space="preserve">온디바이스 </t>
    </r>
    <r>
      <rPr>
        <b val="true"/>
        <sz val="10"/>
        <rFont val="맑은 고딕"/>
        <family val="0"/>
        <charset val="1"/>
      </rPr>
      <t xml:space="preserve">AI)</t>
    </r>
  </si>
  <si>
    <r>
      <rPr>
        <sz val="10"/>
        <rFont val="맑은 고딕"/>
        <family val="0"/>
        <charset val="1"/>
      </rPr>
      <t xml:space="preserve">1.0 TOPS (4</t>
    </r>
    <r>
      <rPr>
        <sz val="10"/>
        <rFont val="WenQuanYi Zen Hei"/>
        <family val="2"/>
      </rPr>
      <t xml:space="preserve">세대 </t>
    </r>
    <r>
      <rPr>
        <sz val="10"/>
        <rFont val="맑은 고딕"/>
        <family val="0"/>
        <charset val="1"/>
      </rPr>
      <t xml:space="preserve">NPU)</t>
    </r>
  </si>
  <si>
    <t xml:space="preserve">없음</t>
  </si>
  <si>
    <r>
      <rPr>
        <sz val="9"/>
        <color rgb="FF404040"/>
        <rFont val="WenQuanYi Zen Hei"/>
        <family val="2"/>
      </rPr>
      <t xml:space="preserve">두피 분석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모발 카운팅을 보드에서 직접 돌리려면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안만 가능</t>
    </r>
    <r>
      <rPr>
        <sz val="9"/>
        <color rgb="FF404040"/>
        <rFont val="맑은 고딕"/>
        <family val="0"/>
        <charset val="1"/>
      </rPr>
      <t xml:space="preserve">. 2</t>
    </r>
    <r>
      <rPr>
        <sz val="9"/>
        <color rgb="FF404040"/>
        <rFont val="WenQuanYi Zen Hei"/>
        <family val="2"/>
      </rPr>
      <t xml:space="preserve">안은 폰이나 서버로 영상을 보내서 처리해야 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</si>
  <si>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ISP</t>
  </si>
  <si>
    <r>
      <rPr>
        <sz val="10"/>
        <rFont val="맑은 고딕"/>
        <family val="0"/>
        <charset val="1"/>
      </rPr>
      <t xml:space="preserve">ISP 3.2 — </t>
    </r>
    <r>
      <rPr>
        <sz val="10"/>
        <rFont val="WenQuanYi Zen Hei"/>
        <family val="2"/>
      </rPr>
      <t xml:space="preserve">최대 </t>
    </r>
    <r>
      <rPr>
        <sz val="10"/>
        <rFont val="맑은 고딕"/>
        <family val="0"/>
        <charset val="1"/>
      </rPr>
      <t xml:space="preserve">8MP@15fps</t>
    </r>
  </si>
  <si>
    <r>
      <rPr>
        <sz val="10"/>
        <rFont val="맑은 고딕"/>
        <family val="0"/>
        <charset val="1"/>
      </rPr>
      <t xml:space="preserve">8MP ISP, MIPI-CSI 4</t>
    </r>
    <r>
      <rPr>
        <sz val="10"/>
        <rFont val="WenQuanYi Zen Hei"/>
        <family val="2"/>
      </rPr>
      <t xml:space="preserve">레인</t>
    </r>
  </si>
  <si>
    <r>
      <rPr>
        <sz val="9"/>
        <color rgb="FF404040"/>
        <rFont val="WenQuanYi Zen Hei"/>
        <family val="2"/>
      </rPr>
      <t xml:space="preserve">카메라 처리 상한은 양쪽이 사실상 동급</t>
    </r>
    <r>
      <rPr>
        <sz val="9"/>
        <color rgb="FF404040"/>
        <rFont val="맑은 고딕"/>
        <family val="0"/>
        <charset val="1"/>
      </rPr>
      <t xml:space="preserve">.</t>
    </r>
  </si>
  <si>
    <t xml:space="preserve">CPU / GPU</t>
  </si>
  <si>
    <r>
      <rPr>
        <sz val="10"/>
        <rFont val="맑은 고딕"/>
        <family val="0"/>
        <charset val="1"/>
      </rPr>
      <t xml:space="preserve">Cortex-A7 1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+ RISC-V MCU (GPU </t>
    </r>
    <r>
      <rPr>
        <sz val="10"/>
        <rFont val="WenQuanYi Zen Hei"/>
        <family val="2"/>
      </rPr>
      <t xml:space="preserve">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</si>
  <si>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Cortex-A35 4</t>
    </r>
    <r>
      <rPr>
        <sz val="10"/>
        <rFont val="WenQuanYi Zen Hei"/>
        <family val="2"/>
      </rPr>
      <t xml:space="preserve">코어 </t>
    </r>
    <r>
      <rPr>
        <sz val="10"/>
        <rFont val="맑은 고딕"/>
        <family val="0"/>
        <charset val="1"/>
      </rPr>
      <t xml:space="preserve">+ Mali-G31 GPU</t>
    </r>
  </si>
  <si>
    <r>
      <rPr>
        <sz val="9"/>
        <color rgb="FF404040"/>
        <rFont val="WenQuanYi Zen Hei"/>
        <family val="2"/>
      </rPr>
      <t xml:space="preserve">범용 연산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그래픽은 </t>
    </r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안이 우위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보드에 화면과 </t>
    </r>
    <r>
      <rPr>
        <sz val="9"/>
        <color rgb="FF404040"/>
        <rFont val="맑은 고딕"/>
        <family val="0"/>
        <charset val="1"/>
      </rPr>
      <t xml:space="preserve">UI</t>
    </r>
    <r>
      <rPr>
        <sz val="9"/>
        <color rgb="FF404040"/>
        <rFont val="WenQuanYi Zen Hei"/>
        <family val="2"/>
      </rPr>
      <t xml:space="preserve">를 직접 띄우려면 </t>
    </r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안이 유리하고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스트리밍 전용이면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안으로 충분함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</si>
  <si>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메모리 구성</t>
  </si>
  <si>
    <r>
      <rPr>
        <sz val="10"/>
        <rFont val="맑은 고딕"/>
        <family val="0"/>
        <charset val="1"/>
      </rPr>
      <t xml:space="preserve">SoC </t>
    </r>
    <r>
      <rPr>
        <sz val="10"/>
        <rFont val="WenQuanYi Zen Hei"/>
        <family val="2"/>
      </rPr>
      <t xml:space="preserve">내장 </t>
    </r>
    <r>
      <rPr>
        <sz val="10"/>
        <rFont val="맑은 고딕"/>
        <family val="0"/>
        <charset val="1"/>
      </rPr>
      <t xml:space="preserve">256MB DDR3L (SIP)</t>
    </r>
  </si>
  <si>
    <r>
      <rPr>
        <sz val="10"/>
        <rFont val="WenQuanYi Zen Hei"/>
        <family val="2"/>
      </rPr>
      <t xml:space="preserve">외부 </t>
    </r>
    <r>
      <rPr>
        <sz val="10"/>
        <rFont val="맑은 고딕"/>
        <family val="0"/>
        <charset val="1"/>
      </rPr>
      <t xml:space="preserve">DDR3 1GB (2</t>
    </r>
    <r>
      <rPr>
        <sz val="10"/>
        <rFont val="WenQuanYi Zen Hei"/>
        <family val="2"/>
      </rPr>
      <t xml:space="preserve">칩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</si>
  <si>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안은 외부 </t>
    </r>
    <r>
      <rPr>
        <sz val="9"/>
        <color rgb="FF404040"/>
        <rFont val="맑은 고딕"/>
        <family val="0"/>
        <charset val="1"/>
      </rPr>
      <t xml:space="preserve">RAM </t>
    </r>
    <r>
      <rPr>
        <sz val="9"/>
        <color rgb="FF404040"/>
        <rFont val="WenQuanYi Zen Hei"/>
        <family val="2"/>
      </rPr>
      <t xml:space="preserve">배선이 없어 기판 면적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레이어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조립 공정까지 함께 줄어듦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단가표의 </t>
    </r>
    <r>
      <rPr>
        <sz val="9"/>
        <color rgb="FF404040"/>
        <rFont val="맑은 고딕"/>
        <family val="0"/>
        <charset val="1"/>
      </rPr>
      <t xml:space="preserve">34,200</t>
    </r>
    <r>
      <rPr>
        <sz val="9"/>
        <color rgb="FF404040"/>
        <rFont val="WenQuanYi Zen Hei"/>
        <family val="2"/>
      </rPr>
      <t xml:space="preserve">원은 부품비만 반영한 값이라 실제 원가 차이는 더 큼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</si>
  <si>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실시간 스트리밍</t>
  </si>
  <si>
    <r>
      <rPr>
        <sz val="10"/>
        <rFont val="맑은 고딕"/>
        <family val="0"/>
        <charset val="1"/>
      </rPr>
      <t xml:space="preserve">RTSP </t>
    </r>
    <r>
      <rPr>
        <sz val="10"/>
        <rFont val="WenQuanYi Zen Hei"/>
        <family val="2"/>
      </rPr>
      <t xml:space="preserve">서버 내장</t>
    </r>
    <r>
      <rPr>
        <sz val="10"/>
        <rFont val="맑은 고딕"/>
        <family val="0"/>
        <charset val="1"/>
      </rPr>
      <t xml:space="preserve">(rkipc) + </t>
    </r>
    <r>
      <rPr>
        <sz val="10"/>
        <rFont val="WenQuanYi Zen Hei"/>
        <family val="2"/>
      </rPr>
      <t xml:space="preserve">안드로이드 앱 연동 완료</t>
    </r>
  </si>
  <si>
    <r>
      <rPr>
        <sz val="9"/>
        <color rgb="FF404040"/>
        <rFont val="WenQuanYi Zen Hei"/>
        <family val="2"/>
      </rPr>
      <t xml:space="preserve">이 저장소에 </t>
    </r>
    <r>
      <rPr>
        <sz val="9"/>
        <color rgb="FF404040"/>
        <rFont val="맑은 고딕"/>
        <family val="0"/>
        <charset val="1"/>
      </rPr>
      <t xml:space="preserve">1080p/25fps </t>
    </r>
    <r>
      <rPr>
        <sz val="9"/>
        <color rgb="FF404040"/>
        <rFont val="WenQuanYi Zen Hei"/>
        <family val="2"/>
      </rPr>
      <t xml:space="preserve">실시간 보기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녹화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캡처가 이미 구현되어 있음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</si>
  <si>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소비전력</t>
  </si>
  <si>
    <r>
      <rPr>
        <sz val="10"/>
        <rFont val="WenQuanYi Zen Hei"/>
        <family val="2"/>
      </rPr>
      <t xml:space="preserve">낮음 </t>
    </r>
    <r>
      <rPr>
        <sz val="10"/>
        <rFont val="맑은 고딕"/>
        <family val="0"/>
        <charset val="1"/>
      </rPr>
      <t xml:space="preserve">(IPC </t>
    </r>
    <r>
      <rPr>
        <sz val="10"/>
        <rFont val="WenQuanYi Zen Hei"/>
        <family val="2"/>
      </rPr>
      <t xml:space="preserve">전용 저전력 설계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</si>
  <si>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높음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쿼드 </t>
    </r>
    <r>
      <rPr>
        <sz val="10"/>
        <rFont val="맑은 고딕"/>
        <family val="0"/>
        <charset val="1"/>
      </rPr>
      <t xml:space="preserve">A35 + GPU + </t>
    </r>
    <r>
      <rPr>
        <sz val="10"/>
        <rFont val="WenQuanYi Zen Hei"/>
        <family val="2"/>
      </rPr>
      <t xml:space="preserve">외부 </t>
    </r>
    <r>
      <rPr>
        <sz val="10"/>
        <rFont val="맑은 고딕"/>
        <family val="0"/>
        <charset val="1"/>
      </rPr>
      <t xml:space="preserve">DDR)</t>
    </r>
  </si>
  <si>
    <r>
      <rPr>
        <sz val="9"/>
        <color rgb="FF404040"/>
        <rFont val="WenQuanYi Zen Hei"/>
        <family val="2"/>
      </rPr>
      <t xml:space="preserve">배터리로 구동하는 제품이면 </t>
    </r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안이 유리함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</si>
  <si>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맑은 고딕"/>
        <family val="0"/>
        <charset val="1"/>
      </rPr>
      <t xml:space="preserve">■ 3. </t>
    </r>
    <r>
      <rPr>
        <b val="true"/>
        <sz val="12"/>
        <color rgb="FF1F3864"/>
        <rFont val="WenQuanYi Zen Hei"/>
        <family val="2"/>
      </rPr>
      <t xml:space="preserve">합계 요약</t>
    </r>
  </si>
  <si>
    <r>
      <rPr>
        <b val="true"/>
        <sz val="10"/>
        <color rgb="FFFFFFFF"/>
        <rFont val="WenQuanYi Zen Hei"/>
        <family val="2"/>
      </rPr>
      <t xml:space="preserve">금액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</si>
  <si>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안 합계 </t>
    </r>
    <r>
      <rPr>
        <b val="true"/>
        <sz val="10"/>
        <rFont val="맑은 고딕"/>
        <family val="0"/>
        <charset val="1"/>
      </rPr>
      <t xml:space="preserve">(RV1106G3 </t>
    </r>
    <r>
      <rPr>
        <b val="true"/>
        <sz val="10"/>
        <rFont val="WenQuanYi Zen Hei"/>
        <family val="2"/>
      </rPr>
      <t xml:space="preserve">기반</t>
    </r>
    <r>
      <rPr>
        <b val="true"/>
        <sz val="10"/>
        <rFont val="맑은 고딕"/>
        <family val="0"/>
        <charset val="1"/>
      </rPr>
      <t xml:space="preserve">)</t>
    </r>
  </si>
  <si>
    <t xml:space="preserve">카메라 모듈 미포함</t>
  </si>
  <si>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안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비컨제품</t>
    </r>
    <r>
      <rPr>
        <b val="true"/>
        <sz val="10"/>
        <rFont val="맑은 고딕"/>
        <family val="0"/>
        <charset val="1"/>
      </rPr>
      <t xml:space="preserve">, PX30 </t>
    </r>
    <r>
      <rPr>
        <b val="true"/>
        <sz val="10"/>
        <rFont val="WenQuanYi Zen Hei"/>
        <family val="2"/>
      </rPr>
      <t xml:space="preserve">기반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</si>
  <si>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차액 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안 − </t>
    </r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</si>
  <si>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안이 더 비쌈</t>
    </r>
    <r>
      <rPr>
        <sz val="9"/>
        <color rgb="FF404040"/>
        <rFont val="맑은 고딕"/>
        <family val="0"/>
        <charset val="1"/>
      </rPr>
      <t xml:space="preserve">. 1</t>
    </r>
    <r>
      <rPr>
        <sz val="9"/>
        <color rgb="FF404040"/>
        <rFont val="WenQuanYi Zen Hei"/>
        <family val="2"/>
      </rPr>
      <t xml:space="preserve">안 대비 약 </t>
    </r>
    <r>
      <rPr>
        <sz val="9"/>
        <color rgb="FF404040"/>
        <rFont val="맑은 고딕"/>
        <family val="0"/>
        <charset val="1"/>
      </rPr>
      <t xml:space="preserve">1.9</t>
    </r>
    <r>
      <rPr>
        <sz val="9"/>
        <color rgb="FF404040"/>
        <rFont val="WenQuanYi Zen Hei"/>
        <family val="2"/>
      </rPr>
      <t xml:space="preserve">배</t>
    </r>
  </si>
  <si>
    <r>
      <rPr>
        <b val="true"/>
        <sz val="10"/>
        <color rgb="FF1F3864"/>
        <rFont val="WenQuanYi Zen Hei"/>
        <family val="2"/>
      </rPr>
      <t xml:space="preserve">결론</t>
    </r>
    <r>
      <rPr>
        <b val="true"/>
        <sz val="10"/>
        <color rgb="FF1F3864"/>
        <rFont val="맑은 고딕"/>
        <family val="0"/>
        <charset val="1"/>
      </rPr>
      <t xml:space="preserve">: </t>
    </r>
    <r>
      <rPr>
        <b val="true"/>
        <sz val="10"/>
        <color rgb="FF1F3864"/>
        <rFont val="WenQuanYi Zen Hei"/>
        <family val="2"/>
      </rPr>
      <t xml:space="preserve">동일 조건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카메라 미포함</t>
    </r>
    <r>
      <rPr>
        <b val="true"/>
        <sz val="10"/>
        <color rgb="FF1F3864"/>
        <rFont val="맑은 고딕"/>
        <family val="0"/>
        <charset val="1"/>
      </rPr>
      <t xml:space="preserve">)</t>
    </r>
    <r>
      <rPr>
        <b val="true"/>
        <sz val="10"/>
        <color rgb="FF1F3864"/>
        <rFont val="WenQuanYi Zen Hei"/>
        <family val="2"/>
      </rPr>
      <t xml:space="preserve">에서 </t>
    </r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안 </t>
    </r>
    <r>
      <rPr>
        <b val="true"/>
        <sz val="10"/>
        <color rgb="FF1F3864"/>
        <rFont val="맑은 고딕"/>
        <family val="0"/>
        <charset val="1"/>
      </rPr>
      <t xml:space="preserve">39,000</t>
    </r>
    <r>
      <rPr>
        <b val="true"/>
        <sz val="10"/>
        <color rgb="FF1F3864"/>
        <rFont val="WenQuanYi Zen Hei"/>
        <family val="2"/>
      </rPr>
      <t xml:space="preserve">원 </t>
    </r>
    <r>
      <rPr>
        <b val="true"/>
        <sz val="10"/>
        <color rgb="FF1F3864"/>
        <rFont val="맑은 고딕"/>
        <family val="0"/>
        <charset val="1"/>
      </rPr>
      <t xml:space="preserve">vs 2</t>
    </r>
    <r>
      <rPr>
        <b val="true"/>
        <sz val="10"/>
        <color rgb="FF1F3864"/>
        <rFont val="WenQuanYi Zen Hei"/>
        <family val="2"/>
      </rPr>
      <t xml:space="preserve">안 </t>
    </r>
    <r>
      <rPr>
        <b val="true"/>
        <sz val="10"/>
        <color rgb="FF1F3864"/>
        <rFont val="맑은 고딕"/>
        <family val="0"/>
        <charset val="1"/>
      </rPr>
      <t xml:space="preserve">74,580</t>
    </r>
    <r>
      <rPr>
        <b val="true"/>
        <sz val="10"/>
        <color rgb="FF1F3864"/>
        <rFont val="WenQuanYi Zen Hei"/>
        <family val="2"/>
      </rPr>
      <t xml:space="preserve">원으로 </t>
    </r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안이 </t>
    </r>
    <r>
      <rPr>
        <b val="true"/>
        <sz val="10"/>
        <color rgb="FF1F3864"/>
        <rFont val="맑은 고딕"/>
        <family val="0"/>
        <charset val="1"/>
      </rPr>
      <t xml:space="preserve">35,580</t>
    </r>
    <r>
      <rPr>
        <b val="true"/>
        <sz val="10"/>
        <color rgb="FF1F3864"/>
        <rFont val="WenQuanYi Zen Hei"/>
        <family val="2"/>
      </rPr>
      <t xml:space="preserve">원 저렴합니다</t>
    </r>
    <r>
      <rPr>
        <b val="true"/>
        <sz val="10"/>
        <color rgb="FF1F3864"/>
        <rFont val="맑은 고딕"/>
        <family val="0"/>
        <charset val="1"/>
      </rPr>
      <t xml:space="preserve">. </t>
    </r>
    <r>
      <rPr>
        <b val="true"/>
        <sz val="10"/>
        <color rgb="FF1F3864"/>
        <rFont val="WenQuanYi Zen Hei"/>
        <family val="2"/>
      </rPr>
      <t xml:space="preserve">격차의 대부분은 </t>
    </r>
    <r>
      <rPr>
        <b val="true"/>
        <sz val="10"/>
        <color rgb="FF1F3864"/>
        <rFont val="맑은 고딕"/>
        <family val="0"/>
        <charset val="1"/>
      </rPr>
      <t xml:space="preserve">2</t>
    </r>
    <r>
      <rPr>
        <b val="true"/>
        <sz val="10"/>
        <color rgb="FF1F3864"/>
        <rFont val="WenQuanYi Zen Hei"/>
        <family val="2"/>
      </rPr>
      <t xml:space="preserve">안이 외부 </t>
    </r>
    <r>
      <rPr>
        <b val="true"/>
        <sz val="10"/>
        <color rgb="FF1F3864"/>
        <rFont val="맑은 고딕"/>
        <family val="0"/>
        <charset val="1"/>
      </rPr>
      <t xml:space="preserve">RAM 34,200</t>
    </r>
    <r>
      <rPr>
        <b val="true"/>
        <sz val="10"/>
        <color rgb="FF1F3864"/>
        <rFont val="WenQuanYi Zen Hei"/>
        <family val="2"/>
      </rPr>
      <t xml:space="preserve">원을 따로 달아야 하는 데서 나오며</t>
    </r>
    <r>
      <rPr>
        <b val="true"/>
        <sz val="10"/>
        <color rgb="FF1F3864"/>
        <rFont val="맑은 고딕"/>
        <family val="0"/>
        <charset val="1"/>
      </rPr>
      <t xml:space="preserve">, 1</t>
    </r>
    <r>
      <rPr>
        <b val="true"/>
        <sz val="10"/>
        <color rgb="FF1F3864"/>
        <rFont val="WenQuanYi Zen Hei"/>
        <family val="2"/>
      </rPr>
      <t xml:space="preserve">안은 이 배선이 없어 기판 면적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WenQuanYi Zen Hei"/>
        <family val="2"/>
      </rPr>
      <t xml:space="preserve">레이어까지 함께 줄어듭니다</t>
    </r>
    <r>
      <rPr>
        <b val="true"/>
        <sz val="10"/>
        <color rgb="FF1F3864"/>
        <rFont val="맑은 고딕"/>
        <family val="0"/>
        <charset val="1"/>
      </rPr>
      <t xml:space="preserve">. </t>
    </r>
    <r>
      <rPr>
        <b val="true"/>
        <sz val="10"/>
        <color rgb="FF1F3864"/>
        <rFont val="WenQuanYi Zen Hei"/>
        <family val="2"/>
      </rPr>
      <t xml:space="preserve">기능 면에서도 </t>
    </r>
    <r>
      <rPr>
        <b val="true"/>
        <sz val="10"/>
        <color rgb="FF1F3864"/>
        <rFont val="맑은 고딕"/>
        <family val="0"/>
        <charset val="1"/>
      </rPr>
      <t xml:space="preserve">H.265 </t>
    </r>
    <r>
      <rPr>
        <b val="true"/>
        <sz val="10"/>
        <color rgb="FF1F3864"/>
        <rFont val="WenQuanYi Zen Hei"/>
        <family val="2"/>
      </rPr>
      <t xml:space="preserve">인코딩과 </t>
    </r>
    <r>
      <rPr>
        <b val="true"/>
        <sz val="10"/>
        <color rgb="FF1F3864"/>
        <rFont val="맑은 고딕"/>
        <family val="0"/>
        <charset val="1"/>
      </rPr>
      <t xml:space="preserve">1 TOPS NPU</t>
    </r>
    <r>
      <rPr>
        <b val="true"/>
        <sz val="10"/>
        <color rgb="FF1F3864"/>
        <rFont val="WenQuanYi Zen Hei"/>
        <family val="2"/>
      </rPr>
      <t xml:space="preserve">는 </t>
    </r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안에만 있습니다</t>
    </r>
    <r>
      <rPr>
        <b val="true"/>
        <sz val="10"/>
        <color rgb="FF1F3864"/>
        <rFont val="맑은 고딕"/>
        <family val="0"/>
        <charset val="1"/>
      </rPr>
      <t xml:space="preserve">. </t>
    </r>
    <r>
      <rPr>
        <b val="true"/>
        <sz val="10"/>
        <color rgb="FF1F3864"/>
        <rFont val="WenQuanYi Zen Hei"/>
        <family val="2"/>
      </rPr>
      <t xml:space="preserve">다만 </t>
    </r>
    <r>
      <rPr>
        <b val="true"/>
        <sz val="10"/>
        <color rgb="FF1F3864"/>
        <rFont val="맑은 고딕"/>
        <family val="0"/>
        <charset val="1"/>
      </rPr>
      <t xml:space="preserve">2</t>
    </r>
    <r>
      <rPr>
        <b val="true"/>
        <sz val="10"/>
        <color rgb="FF1F3864"/>
        <rFont val="WenQuanYi Zen Hei"/>
        <family val="2"/>
      </rPr>
      <t xml:space="preserve">안의 </t>
    </r>
    <r>
      <rPr>
        <b val="true"/>
        <sz val="10"/>
        <color rgb="FF1F3864"/>
        <rFont val="맑은 고딕"/>
        <family val="0"/>
        <charset val="1"/>
      </rPr>
      <t xml:space="preserve">64MP </t>
    </r>
    <r>
      <rPr>
        <b val="true"/>
        <sz val="10"/>
        <color rgb="FF1F3864"/>
        <rFont val="WenQuanYi Zen Hei"/>
        <family val="2"/>
      </rPr>
      <t xml:space="preserve">표기는 </t>
    </r>
    <r>
      <rPr>
        <b val="true"/>
        <sz val="10"/>
        <color rgb="FF1F3864"/>
        <rFont val="맑은 고딕"/>
        <family val="0"/>
        <charset val="1"/>
      </rPr>
      <t xml:space="preserve">PX30</t>
    </r>
    <r>
      <rPr>
        <b val="true"/>
        <sz val="10"/>
        <color rgb="FF1F3864"/>
        <rFont val="WenQuanYi Zen Hei"/>
        <family val="2"/>
      </rPr>
      <t xml:space="preserve">의 </t>
    </r>
    <r>
      <rPr>
        <b val="true"/>
        <sz val="10"/>
        <color rgb="FF1F3864"/>
        <rFont val="맑은 고딕"/>
        <family val="0"/>
        <charset val="1"/>
      </rPr>
      <t xml:space="preserve">ISP </t>
    </r>
    <r>
      <rPr>
        <b val="true"/>
        <sz val="10"/>
        <color rgb="FF1F3864"/>
        <rFont val="WenQuanYi Zen Hei"/>
        <family val="2"/>
      </rPr>
      <t xml:space="preserve">상한</t>
    </r>
    <r>
      <rPr>
        <b val="true"/>
        <sz val="10"/>
        <color rgb="FF1F3864"/>
        <rFont val="맑은 고딕"/>
        <family val="0"/>
        <charset val="1"/>
      </rPr>
      <t xml:space="preserve">(8MP)</t>
    </r>
    <r>
      <rPr>
        <b val="true"/>
        <sz val="10"/>
        <color rgb="FF1F3864"/>
        <rFont val="WenQuanYi Zen Hei"/>
        <family val="2"/>
      </rPr>
      <t xml:space="preserve">과 맞지 않아 실제 처리 화소를 반드시 확인해야 하고</t>
    </r>
    <r>
      <rPr>
        <b val="true"/>
        <sz val="10"/>
        <color rgb="FF1F3864"/>
        <rFont val="맑은 고딕"/>
        <family val="0"/>
        <charset val="1"/>
      </rPr>
      <t xml:space="preserve">, </t>
    </r>
    <r>
      <rPr>
        <b val="true"/>
        <sz val="10"/>
        <color rgb="FF1F3864"/>
        <rFont val="WenQuanYi Zen Hei"/>
        <family val="2"/>
      </rPr>
      <t xml:space="preserve">범용 연산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WenQuanYi Zen Hei"/>
        <family val="2"/>
      </rPr>
      <t xml:space="preserve">화면 출력이 필요하면 </t>
    </r>
    <r>
      <rPr>
        <b val="true"/>
        <sz val="10"/>
        <color rgb="FF1F3864"/>
        <rFont val="맑은 고딕"/>
        <family val="0"/>
        <charset val="1"/>
      </rPr>
      <t xml:space="preserve">2</t>
    </r>
    <r>
      <rPr>
        <b val="true"/>
        <sz val="10"/>
        <color rgb="FF1F3864"/>
        <rFont val="WenQuanYi Zen Hei"/>
        <family val="2"/>
      </rPr>
      <t xml:space="preserve">안이 유리합니다</t>
    </r>
    <r>
      <rPr>
        <b val="true"/>
        <sz val="10"/>
        <color rgb="FF1F3864"/>
        <rFont val="맑은 고딕"/>
        <family val="0"/>
        <charset val="1"/>
      </rPr>
      <t xml:space="preserve">.</t>
    </r>
  </si>
  <si>
    <r>
      <rPr>
        <b val="true"/>
        <sz val="15"/>
        <color rgb="FF1F3864"/>
        <rFont val="WenQuanYi Zen Hei"/>
        <family val="2"/>
      </rPr>
      <t xml:space="preserve">카메라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접사렌즈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해상도 </t>
    </r>
    <r>
      <rPr>
        <b val="true"/>
        <sz val="15"/>
        <color rgb="FF1F3864"/>
        <rFont val="맑은 고딕"/>
        <family val="0"/>
        <charset val="1"/>
      </rPr>
      <t xml:space="preserve">· </t>
    </r>
    <r>
      <rPr>
        <b val="true"/>
        <sz val="15"/>
        <color rgb="FF1F3864"/>
        <rFont val="WenQuanYi Zen Hei"/>
        <family val="2"/>
      </rPr>
      <t xml:space="preserve">표시 배율 정리</t>
    </r>
  </si>
  <si>
    <r>
      <rPr>
        <i val="true"/>
        <sz val="9"/>
        <color rgb="FF7F7F7F"/>
        <rFont val="WenQuanYi Zen Hei"/>
        <family val="2"/>
      </rPr>
      <t xml:space="preserve">노란 칸은 입력값입니다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값을 바꾸면 아래 배율</t>
    </r>
    <r>
      <rPr>
        <i val="true"/>
        <sz val="9"/>
        <color rgb="FF7F7F7F"/>
        <rFont val="맑은 고딕"/>
        <family val="0"/>
        <charset val="1"/>
      </rPr>
      <t xml:space="preserve">·</t>
    </r>
    <r>
      <rPr>
        <i val="true"/>
        <sz val="9"/>
        <color rgb="FF7F7F7F"/>
        <rFont val="WenQuanYi Zen Hei"/>
        <family val="2"/>
      </rPr>
      <t xml:space="preserve">해상력이 모두 다시 계산됩니다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광학 계산 출처</t>
    </r>
    <r>
      <rPr>
        <i val="true"/>
        <sz val="9"/>
        <color rgb="FF7F7F7F"/>
        <rFont val="맑은 고딕"/>
        <family val="0"/>
        <charset val="1"/>
      </rPr>
      <t xml:space="preserve">: docs/scalp-scope.md</t>
    </r>
  </si>
  <si>
    <r>
      <rPr>
        <b val="true"/>
        <sz val="12"/>
        <color rgb="FF1F3864"/>
        <rFont val="맑은 고딕"/>
        <family val="0"/>
        <charset val="1"/>
      </rPr>
      <t xml:space="preserve">■ 0. </t>
    </r>
    <r>
      <rPr>
        <b val="true"/>
        <sz val="12"/>
        <color rgb="FF1F3864"/>
        <rFont val="WenQuanYi Zen Hei"/>
        <family val="2"/>
      </rPr>
      <t xml:space="preserve">기준값 </t>
    </r>
    <r>
      <rPr>
        <b val="true"/>
        <sz val="12"/>
        <color rgb="FF1F3864"/>
        <rFont val="맑은 고딕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입력</t>
    </r>
    <r>
      <rPr>
        <b val="true"/>
        <sz val="12"/>
        <color rgb="FF1F3864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</si>
  <si>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센서 가로 픽셀 </t>
    </r>
    <r>
      <rPr>
        <b val="true"/>
        <sz val="10"/>
        <rFont val="맑은 고딕"/>
        <family val="0"/>
        <charset val="1"/>
      </rPr>
      <t xml:space="preserve">(1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맑은 고딕"/>
        <family val="0"/>
        <charset val="1"/>
      </rPr>
      <t xml:space="preserve">)</t>
    </r>
  </si>
  <si>
    <t xml:space="preserve">px</t>
  </si>
  <si>
    <t xml:space="preserve">SC3336 2304×1296</t>
  </si>
  <si>
    <r>
      <rPr>
        <b val="true"/>
        <sz val="10"/>
        <rFont val="WenQuanYi Zen Hei"/>
        <family val="2"/>
      </rPr>
      <t xml:space="preserve">센서 유효 폭 </t>
    </r>
    <r>
      <rPr>
        <b val="true"/>
        <sz val="10"/>
        <rFont val="맑은 고딕"/>
        <family val="0"/>
        <charset val="1"/>
      </rPr>
      <t xml:space="preserve">(1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맑은 고딕"/>
        <family val="0"/>
        <charset val="1"/>
      </rPr>
      <t xml:space="preserve">)</t>
    </r>
  </si>
  <si>
    <t xml:space="preserve">mm</t>
  </si>
  <si>
    <r>
      <rPr>
        <sz val="9"/>
        <color rgb="FF404040"/>
        <rFont val="맑은 고딕"/>
        <family val="0"/>
        <charset val="1"/>
      </rPr>
      <t xml:space="preserve">1/2.8" </t>
    </r>
    <r>
      <rPr>
        <sz val="9"/>
        <color rgb="FF404040"/>
        <rFont val="WenQuanYi Zen Hei"/>
        <family val="2"/>
      </rPr>
      <t xml:space="preserve">규격 기준</t>
    </r>
  </si>
  <si>
    <r>
      <rPr>
        <b val="true"/>
        <sz val="10"/>
        <rFont val="WenQuanYi Zen Hei"/>
        <family val="2"/>
      </rPr>
      <t xml:space="preserve">센서 유효 폭 </t>
    </r>
    <r>
      <rPr>
        <b val="true"/>
        <sz val="10"/>
        <rFont val="맑은 고딕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</si>
  <si>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맑은 고딕"/>
        <family val="0"/>
        <charset val="1"/>
      </rPr>
      <t xml:space="preserve">64MP 1/1.7"</t>
    </r>
    <r>
      <rPr>
        <sz val="9"/>
        <color rgb="FF404040"/>
        <rFont val="WenQuanYi Zen Hei"/>
        <family val="2"/>
      </rPr>
      <t xml:space="preserve">급 </t>
    </r>
    <r>
      <rPr>
        <sz val="9"/>
        <color rgb="FF404040"/>
        <rFont val="맑은 고딕"/>
        <family val="0"/>
        <charset val="1"/>
      </rPr>
      <t xml:space="preserve">= 9248px × 0.8μm</t>
    </r>
  </si>
  <si>
    <r>
      <rPr>
        <b val="true"/>
        <sz val="10"/>
        <rFont val="WenQuanYi Zen Hei"/>
        <family val="2"/>
      </rPr>
      <t xml:space="preserve">렌즈 </t>
    </r>
    <r>
      <rPr>
        <b val="true"/>
        <sz val="10"/>
        <rFont val="맑은 고딕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값</t>
    </r>
  </si>
  <si>
    <r>
      <rPr>
        <sz val="9"/>
        <color rgb="FF404040"/>
        <rFont val="맑은 고딕"/>
        <family val="0"/>
        <charset val="1"/>
      </rPr>
      <t xml:space="preserve">SC3336 </t>
    </r>
    <r>
      <rPr>
        <sz val="9"/>
        <color rgb="FF404040"/>
        <rFont val="WenQuanYi Zen Hei"/>
        <family val="2"/>
      </rPr>
      <t xml:space="preserve">모듈 기본 </t>
    </r>
    <r>
      <rPr>
        <sz val="9"/>
        <color rgb="FF404040"/>
        <rFont val="맑은 고딕"/>
        <family val="0"/>
        <charset val="1"/>
      </rPr>
      <t xml:space="preserve">F2.0</t>
    </r>
  </si>
  <si>
    <r>
      <rPr>
        <b val="true"/>
        <sz val="10"/>
        <rFont val="WenQuanYi Zen Hei"/>
        <family val="2"/>
      </rPr>
      <t xml:space="preserve">빛 파장 </t>
    </r>
    <r>
      <rPr>
        <b val="true"/>
        <sz val="10"/>
        <rFont val="맑은 고딕"/>
        <family val="0"/>
        <charset val="1"/>
      </rPr>
      <t xml:space="preserve">λ</t>
    </r>
  </si>
  <si>
    <t xml:space="preserve">μm</t>
  </si>
  <si>
    <r>
      <rPr>
        <sz val="9"/>
        <color rgb="FF404040"/>
        <rFont val="WenQuanYi Zen Hei"/>
        <family val="2"/>
      </rPr>
      <t xml:space="preserve">가시광 중심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녹색</t>
    </r>
    <r>
      <rPr>
        <sz val="9"/>
        <color rgb="FF40404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</si>
  <si>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인치 폰 가로 폭</t>
    </r>
  </si>
  <si>
    <r>
      <rPr>
        <sz val="9"/>
        <color rgb="FF404040"/>
        <rFont val="맑은 고딕"/>
        <family val="0"/>
        <charset val="1"/>
      </rPr>
      <t xml:space="preserve">6</t>
    </r>
    <r>
      <rPr>
        <sz val="9"/>
        <color rgb="FF404040"/>
        <rFont val="WenQuanYi Zen Hei"/>
        <family val="2"/>
      </rPr>
      <t xml:space="preserve">인치 </t>
    </r>
    <r>
      <rPr>
        <sz val="9"/>
        <color rgb="FF404040"/>
        <rFont val="맑은 고딕"/>
        <family val="0"/>
        <charset val="1"/>
      </rPr>
      <t xml:space="preserve">16:9 </t>
    </r>
    <r>
      <rPr>
        <sz val="9"/>
        <color rgb="FF404040"/>
        <rFont val="WenQuanYi Zen Hei"/>
        <family val="2"/>
      </rPr>
      <t xml:space="preserve">가로 방향</t>
    </r>
  </si>
  <si>
    <r>
      <rPr>
        <b val="true"/>
        <sz val="10"/>
        <rFont val="맑은 고딕"/>
        <family val="0"/>
        <charset val="1"/>
      </rPr>
      <t xml:space="preserve">24</t>
    </r>
    <r>
      <rPr>
        <b val="true"/>
        <sz val="10"/>
        <rFont val="WenQuanYi Zen Hei"/>
        <family val="2"/>
      </rPr>
      <t xml:space="preserve">인치 모니터 가로 폭</t>
    </r>
  </si>
  <si>
    <r>
      <rPr>
        <sz val="9"/>
        <color rgb="FF404040"/>
        <rFont val="맑은 고딕"/>
        <family val="0"/>
        <charset val="1"/>
      </rPr>
      <t xml:space="preserve">24</t>
    </r>
    <r>
      <rPr>
        <sz val="9"/>
        <color rgb="FF404040"/>
        <rFont val="WenQuanYi Zen Hei"/>
        <family val="2"/>
      </rPr>
      <t xml:space="preserve">인치 </t>
    </r>
    <r>
      <rPr>
        <sz val="9"/>
        <color rgb="FF404040"/>
        <rFont val="맑은 고딕"/>
        <family val="0"/>
        <charset val="1"/>
      </rPr>
      <t xml:space="preserve">16:9</t>
    </r>
  </si>
  <si>
    <r>
      <rPr>
        <b val="true"/>
        <sz val="12"/>
        <color rgb="FF1F3864"/>
        <rFont val="맑은 고딕"/>
        <family val="0"/>
        <charset val="1"/>
      </rPr>
      <t xml:space="preserve">■ 1. </t>
    </r>
    <r>
      <rPr>
        <b val="true"/>
        <sz val="12"/>
        <color rgb="FF1F3864"/>
        <rFont val="WenQuanYi Zen Hei"/>
        <family val="2"/>
      </rPr>
      <t xml:space="preserve">센서 </t>
    </r>
    <r>
      <rPr>
        <b val="true"/>
        <sz val="12"/>
        <color rgb="FF1F3864"/>
        <rFont val="맑은 고딕"/>
        <family val="0"/>
        <charset val="1"/>
      </rPr>
      <t xml:space="preserve">· </t>
    </r>
    <r>
      <rPr>
        <b val="true"/>
        <sz val="12"/>
        <color rgb="FF1F3864"/>
        <rFont val="WenQuanYi Zen Hei"/>
        <family val="2"/>
      </rPr>
      <t xml:space="preserve">카메라 사양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</si>
  <si>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안 — </t>
    </r>
    <r>
      <rPr>
        <b val="true"/>
        <sz val="10"/>
        <color rgb="FFFFFFFF"/>
        <rFont val="맑은 고딕"/>
        <family val="0"/>
        <charset val="1"/>
      </rPr>
      <t xml:space="preserve">SC3336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</si>
  <si>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안 — </t>
    </r>
    <r>
      <rPr>
        <b val="true"/>
        <sz val="10"/>
        <color rgb="FFFFFFFF"/>
        <rFont val="맑은 고딕"/>
        <family val="0"/>
        <charset val="1"/>
      </rPr>
      <t xml:space="preserve">64MP</t>
    </r>
    <r>
      <rPr>
        <b val="true"/>
        <sz val="10"/>
        <color rgb="FFFFFFFF"/>
        <rFont val="WenQuanYi Zen Hei"/>
        <family val="2"/>
      </rPr>
      <t xml:space="preserve">급</t>
    </r>
  </si>
  <si>
    <t xml:space="preserve">센서</t>
  </si>
  <si>
    <t xml:space="preserve">SC3336 (SmartSens)</t>
  </si>
  <si>
    <r>
      <rPr>
        <sz val="10"/>
        <rFont val="맑은 고딕"/>
        <family val="0"/>
        <charset val="1"/>
      </rPr>
      <t xml:space="preserve">64MP</t>
    </r>
    <r>
      <rPr>
        <sz val="10"/>
        <rFont val="WenQuanYi Zen Hei"/>
        <family val="2"/>
      </rPr>
      <t xml:space="preserve">급 </t>
    </r>
    <r>
      <rPr>
        <sz val="10"/>
        <rFont val="맑은 고딕"/>
        <family val="0"/>
        <charset val="1"/>
      </rPr>
      <t xml:space="preserve">(GW1 / IMX686 </t>
    </r>
    <r>
      <rPr>
        <sz val="10"/>
        <rFont val="WenQuanYi Zen Hei"/>
        <family val="2"/>
      </rPr>
      <t xml:space="preserve">계열로 추정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</si>
  <si>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맑은 고딕"/>
        <family val="0"/>
        <charset val="1"/>
      </rPr>
      <t xml:space="preserve">2</t>
    </r>
    <r>
      <rPr>
        <sz val="9"/>
        <color rgb="FF404040"/>
        <rFont val="WenQuanYi Zen Hei"/>
        <family val="2"/>
      </rPr>
      <t xml:space="preserve">안은 정확한 모델명이 없어 동급 </t>
    </r>
    <r>
      <rPr>
        <sz val="9"/>
        <color rgb="FF404040"/>
        <rFont val="맑은 고딕"/>
        <family val="0"/>
        <charset val="1"/>
      </rPr>
      <t xml:space="preserve">64MP </t>
    </r>
    <r>
      <rPr>
        <sz val="9"/>
        <color rgb="FF404040"/>
        <rFont val="WenQuanYi Zen Hei"/>
        <family val="2"/>
      </rPr>
      <t xml:space="preserve">센서의 일반 제원으로 비교함 — 실제 모델 확인 필요</t>
    </r>
    <r>
      <rPr>
        <sz val="9"/>
        <color rgb="FF404040"/>
        <rFont val="맑은 고딕"/>
        <family val="0"/>
        <charset val="1"/>
      </rPr>
      <t xml:space="preserve">.</t>
    </r>
  </si>
  <si>
    <t xml:space="preserve">해상도</t>
  </si>
  <si>
    <t xml:space="preserve">3MP — 2304×1296</t>
  </si>
  <si>
    <r>
      <rPr>
        <sz val="10"/>
        <rFont val="맑은 고딕"/>
        <family val="0"/>
        <charset val="1"/>
      </rPr>
      <t xml:space="preserve">64MP —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9248×6944</t>
    </r>
  </si>
  <si>
    <r>
      <rPr>
        <sz val="9"/>
        <color rgb="FF404040"/>
        <rFont val="WenQuanYi Zen Hei"/>
        <family val="2"/>
      </rPr>
      <t xml:space="preserve">명목 화소는 </t>
    </r>
    <r>
      <rPr>
        <sz val="9"/>
        <color rgb="FF404040"/>
        <rFont val="맑은 고딕"/>
        <family val="0"/>
        <charset val="1"/>
      </rPr>
      <t xml:space="preserve">21</t>
    </r>
    <r>
      <rPr>
        <sz val="9"/>
        <color rgb="FF404040"/>
        <rFont val="WenQuanYi Zen Hei"/>
        <family val="2"/>
      </rPr>
      <t xml:space="preserve">배 차이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</si>
  <si>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센서 크기</t>
  </si>
  <si>
    <r>
      <rPr>
        <sz val="10"/>
        <rFont val="맑은 고딕"/>
        <family val="0"/>
        <charset val="1"/>
      </rPr>
      <t xml:space="preserve">1/2.8" (</t>
    </r>
    <r>
      <rPr>
        <sz val="10"/>
        <rFont val="WenQuanYi Zen Hei"/>
        <family val="2"/>
      </rPr>
      <t xml:space="preserve">유효 폭 약 </t>
    </r>
    <r>
      <rPr>
        <sz val="10"/>
        <rFont val="맑은 고딕"/>
        <family val="0"/>
        <charset val="1"/>
      </rPr>
      <t xml:space="preserve">5.1mm)</t>
    </r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</si>
  <si>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1/1.7" (</t>
    </r>
    <r>
      <rPr>
        <sz val="10"/>
        <rFont val="WenQuanYi Zen Hei"/>
        <family val="2"/>
      </rPr>
      <t xml:space="preserve">유효 폭 약 </t>
    </r>
    <r>
      <rPr>
        <sz val="10"/>
        <rFont val="맑은 고딕"/>
        <family val="0"/>
        <charset val="1"/>
      </rPr>
      <t xml:space="preserve">7.4mm)</t>
    </r>
  </si>
  <si>
    <r>
      <rPr>
        <sz val="9"/>
        <color rgb="FF404040"/>
        <rFont val="WenQuanYi Zen Hei"/>
        <family val="2"/>
      </rPr>
      <t xml:space="preserve">센서가 크면 같은 시야를 담는 데 더 높은 광학 배율이 필요해 접사가 오히려 까다로워짐</t>
    </r>
    <r>
      <rPr>
        <sz val="9"/>
        <color rgb="FF404040"/>
        <rFont val="맑은 고딕"/>
        <family val="0"/>
        <charset val="1"/>
      </rPr>
      <t xml:space="preserve">.</t>
    </r>
  </si>
  <si>
    <t xml:space="preserve">픽셀 피치</t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</si>
  <si>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2.2μm</t>
    </r>
  </si>
  <si>
    <r>
      <rPr>
        <sz val="10"/>
        <rFont val="맑은 고딕"/>
        <family val="0"/>
        <charset val="1"/>
      </rPr>
      <t xml:space="preserve">0.8μm (4:1 </t>
    </r>
    <r>
      <rPr>
        <sz val="10"/>
        <rFont val="WenQuanYi Zen Hei"/>
        <family val="2"/>
      </rPr>
      <t xml:space="preserve">비닝 시 </t>
    </r>
    <r>
      <rPr>
        <sz val="10"/>
        <rFont val="맑은 고딕"/>
        <family val="0"/>
        <charset val="1"/>
      </rPr>
      <t xml:space="preserve">1.6μm)</t>
    </r>
  </si>
  <si>
    <r>
      <rPr>
        <sz val="9"/>
        <color rgb="FF404040"/>
        <rFont val="WenQuanYi Zen Hei"/>
        <family val="2"/>
      </rPr>
      <t xml:space="preserve">픽셀이 작을수록 감도가 낮음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접사는 빛이 급격히 부족해지는 조건이라 불리하게 작용함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</si>
  <si>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최대 프레임</t>
  </si>
  <si>
    <r>
      <rPr>
        <sz val="10"/>
        <rFont val="맑은 고딕"/>
        <family val="0"/>
        <charset val="1"/>
      </rPr>
      <t xml:space="preserve">30fps @ 3MP </t>
    </r>
    <r>
      <rPr>
        <sz val="10"/>
        <rFont val="WenQuanYi Zen Hei"/>
        <family val="2"/>
      </rPr>
      <t xml:space="preserve">전체 화소</t>
    </r>
  </si>
  <si>
    <r>
      <rPr>
        <sz val="10"/>
        <rFont val="WenQuanYi Zen Hei"/>
        <family val="2"/>
      </rPr>
      <t xml:space="preserve">센서는 고속이나 </t>
    </r>
    <r>
      <rPr>
        <sz val="10"/>
        <rFont val="맑은 고딕"/>
        <family val="0"/>
        <charset val="1"/>
      </rPr>
      <t xml:space="preserve">PX30 ISP</t>
    </r>
    <r>
      <rPr>
        <sz val="10"/>
        <rFont val="WenQuanYi Zen Hei"/>
        <family val="2"/>
      </rPr>
      <t xml:space="preserve">가 </t>
    </r>
    <r>
      <rPr>
        <sz val="10"/>
        <rFont val="맑은 고딕"/>
        <family val="0"/>
        <charset val="1"/>
      </rPr>
      <t xml:space="preserve">8MP</t>
    </r>
    <r>
      <rPr>
        <sz val="10"/>
        <rFont val="WenQuanYi Zen Hei"/>
        <family val="2"/>
      </rPr>
      <t xml:space="preserve">로 제한</t>
    </r>
  </si>
  <si>
    <r>
      <rPr>
        <sz val="9"/>
        <color rgb="FF404040"/>
        <rFont val="맑은 고딕"/>
        <family val="0"/>
        <charset val="1"/>
      </rPr>
      <t xml:space="preserve">PX30·RV1106G3 </t>
    </r>
    <r>
      <rPr>
        <sz val="9"/>
        <color rgb="FF404040"/>
        <rFont val="WenQuanYi Zen Hei"/>
        <family val="2"/>
      </rPr>
      <t xml:space="preserve">모두 </t>
    </r>
    <r>
      <rPr>
        <sz val="9"/>
        <color rgb="FF404040"/>
        <rFont val="맑은 고딕"/>
        <family val="0"/>
        <charset val="1"/>
      </rPr>
      <t xml:space="preserve">ISP </t>
    </r>
    <r>
      <rPr>
        <sz val="9"/>
        <color rgb="FF404040"/>
        <rFont val="WenQuanYi Zen Hei"/>
        <family val="2"/>
      </rPr>
      <t xml:space="preserve">상한이 </t>
    </r>
    <r>
      <rPr>
        <sz val="9"/>
        <color rgb="FF404040"/>
        <rFont val="맑은 고딕"/>
        <family val="0"/>
        <charset val="1"/>
      </rPr>
      <t xml:space="preserve">8MP</t>
    </r>
    <r>
      <rPr>
        <sz val="9"/>
        <color rgb="FF404040"/>
        <rFont val="WenQuanYi Zen Hei"/>
        <family val="2"/>
      </rPr>
      <t xml:space="preserve">라 </t>
    </r>
    <r>
      <rPr>
        <sz val="9"/>
        <color rgb="FF404040"/>
        <rFont val="맑은 고딕"/>
        <family val="0"/>
        <charset val="1"/>
      </rPr>
      <t xml:space="preserve">64MP</t>
    </r>
    <r>
      <rPr>
        <sz val="9"/>
        <color rgb="FF404040"/>
        <rFont val="WenQuanYi Zen Hei"/>
        <family val="2"/>
      </rPr>
      <t xml:space="preserve">를 실시간으로 처리하지 못함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</si>
  <si>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렌즈 마운트</t>
  </si>
  <si>
    <r>
      <rPr>
        <sz val="10"/>
        <rFont val="맑은 고딕"/>
        <family val="0"/>
        <charset val="1"/>
      </rPr>
      <t xml:space="preserve">M12 (S</t>
    </r>
    <r>
      <rPr>
        <sz val="10"/>
        <rFont val="WenQuanYi Zen Hei"/>
        <family val="2"/>
      </rPr>
      <t xml:space="preserve">마운트</t>
    </r>
    <r>
      <rPr>
        <sz val="10"/>
        <rFont val="맑은 고딕"/>
        <family val="0"/>
        <charset val="1"/>
      </rPr>
      <t xml:space="preserve">) — </t>
    </r>
    <r>
      <rPr>
        <sz val="10"/>
        <rFont val="WenQuanYi Zen Hei"/>
        <family val="2"/>
      </rPr>
      <t xml:space="preserve">교체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연장 가능</t>
    </r>
  </si>
  <si>
    <t xml:space="preserve">스마트폰형 고정 모듈이 일반적 — 확인 필요</t>
  </si>
  <si>
    <r>
      <rPr>
        <sz val="9"/>
        <color rgb="FF404040"/>
        <rFont val="WenQuanYi Zen Hei"/>
        <family val="2"/>
      </rPr>
      <t xml:space="preserve">접사 개조의 핵심</t>
    </r>
    <r>
      <rPr>
        <sz val="9"/>
        <color rgb="FF404040"/>
        <rFont val="맑은 고딕"/>
        <family val="0"/>
        <charset val="1"/>
      </rPr>
      <t xml:space="preserve">. M12</t>
    </r>
    <r>
      <rPr>
        <sz val="9"/>
        <color rgb="FF404040"/>
        <rFont val="WenQuanYi Zen Hei"/>
        <family val="2"/>
      </rPr>
      <t xml:space="preserve">는 렌즈를 풀어 배율을 올리고 익스텐션 링을 끼울 수 있음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고정 초점 모듈이면 접사 개조가 사실상 불가능하므로 반드시 확인해야 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</si>
  <si>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실사용 출력</t>
  </si>
  <si>
    <r>
      <rPr>
        <sz val="10"/>
        <rFont val="맑은 고딕"/>
        <family val="0"/>
        <charset val="1"/>
      </rPr>
      <t xml:space="preserve">2304×1296 </t>
    </r>
    <r>
      <rPr>
        <sz val="10"/>
        <rFont val="WenQuanYi Zen Hei"/>
        <family val="2"/>
      </rPr>
      <t xml:space="preserve">그대로</t>
    </r>
  </si>
  <si>
    <r>
      <rPr>
        <sz val="10"/>
        <rFont val="WenQuanYi Zen Hei"/>
        <family val="2"/>
      </rPr>
      <t xml:space="preserve">저조도 비닝 시 </t>
    </r>
    <r>
      <rPr>
        <sz val="10"/>
        <rFont val="맑은 고딕"/>
        <family val="0"/>
        <charset val="1"/>
      </rPr>
      <t xml:space="preserve">16MP → </t>
    </r>
    <r>
      <rPr>
        <sz val="10"/>
        <rFont val="WenQuanYi Zen Hei"/>
        <family val="2"/>
      </rPr>
      <t xml:space="preserve">스트리밍은 </t>
    </r>
    <r>
      <rPr>
        <sz val="10"/>
        <rFont val="맑은 고딕"/>
        <family val="0"/>
        <charset val="1"/>
      </rPr>
      <t xml:space="preserve">ISP </t>
    </r>
    <r>
      <rPr>
        <sz val="10"/>
        <rFont val="WenQuanYi Zen Hei"/>
        <family val="2"/>
      </rPr>
      <t xml:space="preserve">상한 </t>
    </r>
    <r>
      <rPr>
        <sz val="10"/>
        <rFont val="맑은 고딕"/>
        <family val="0"/>
        <charset val="1"/>
      </rPr>
      <t xml:space="preserve">8MP</t>
    </r>
  </si>
  <si>
    <r>
      <rPr>
        <sz val="9"/>
        <color rgb="FF404040"/>
        <rFont val="맑은 고딕"/>
        <family val="0"/>
        <charset val="1"/>
      </rPr>
      <t xml:space="preserve">64MP</t>
    </r>
    <r>
      <rPr>
        <sz val="9"/>
        <color rgb="FF404040"/>
        <rFont val="WenQuanYi Zen Hei"/>
        <family val="2"/>
      </rPr>
      <t xml:space="preserve">는 밝은 곳 정지컷 전용에 가까움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</si>
  <si>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맑은 고딕"/>
        <family val="0"/>
        <charset val="1"/>
      </rPr>
      <t xml:space="preserve">■ 2. </t>
    </r>
    <r>
      <rPr>
        <b val="true"/>
        <sz val="12"/>
        <color rgb="FF1F3864"/>
        <rFont val="WenQuanYi Zen Hei"/>
        <family val="2"/>
      </rPr>
      <t xml:space="preserve">접사 렌즈 — </t>
    </r>
    <r>
      <rPr>
        <b val="true"/>
        <sz val="12"/>
        <color rgb="FF1F3864"/>
        <rFont val="맑은 고딕"/>
        <family val="0"/>
        <charset val="1"/>
      </rPr>
      <t xml:space="preserve">1</t>
    </r>
    <r>
      <rPr>
        <b val="true"/>
        <sz val="12"/>
        <color rgb="FF1F3864"/>
        <rFont val="WenQuanYi Zen Hei"/>
        <family val="2"/>
      </rPr>
      <t xml:space="preserve">안 기준 </t>
    </r>
    <r>
      <rPr>
        <b val="true"/>
        <sz val="12"/>
        <color rgb="FF1F3864"/>
        <rFont val="맑은 고딕"/>
        <family val="0"/>
        <charset val="1"/>
      </rPr>
      <t xml:space="preserve">(</t>
    </r>
    <r>
      <rPr>
        <b val="true"/>
        <sz val="12"/>
        <color rgb="FF1F3864"/>
        <rFont val="WenQuanYi Zen Hei"/>
        <family val="2"/>
      </rPr>
      <t xml:space="preserve">시야 폭 </t>
    </r>
    <r>
      <rPr>
        <b val="true"/>
        <sz val="12"/>
        <color rgb="FF1F3864"/>
        <rFont val="맑은 고딕"/>
        <family val="0"/>
        <charset val="1"/>
      </rPr>
      <t xml:space="preserve">2.5mm </t>
    </r>
    <r>
      <rPr>
        <b val="true"/>
        <sz val="12"/>
        <color rgb="FF1F3864"/>
        <rFont val="WenQuanYi Zen Hei"/>
        <family val="2"/>
      </rPr>
      <t xml:space="preserve">목표</t>
    </r>
    <r>
      <rPr>
        <b val="true"/>
        <sz val="12"/>
        <color rgb="FF1F3864"/>
        <rFont val="맑은 고딕"/>
        <family val="0"/>
        <charset val="1"/>
      </rPr>
      <t xml:space="preserve">)</t>
    </r>
  </si>
  <si>
    <t xml:space="preserve">초점거리</t>
  </si>
  <si>
    <t xml:space="preserve">카탈로그
화각</t>
  </si>
  <si>
    <t xml:space="preserve">빼야 할
거리</t>
  </si>
  <si>
    <t xml:space="preserve">나사
회전 수</t>
  </si>
  <si>
    <r>
      <rPr>
        <b val="true"/>
        <sz val="10"/>
        <color rgb="FFFFFFFF"/>
        <rFont val="WenQuanYi Zen Hei"/>
        <family val="2"/>
      </rPr>
      <t xml:space="preserve">렌즈</t>
    </r>
    <r>
      <rPr>
        <b val="true"/>
        <sz val="10"/>
        <color rgb="FFFFFFFF"/>
        <rFont val="맑은 고딕"/>
        <family val="0"/>
        <charset val="1"/>
      </rPr>
      <t xml:space="preserve">~</t>
    </r>
    <r>
      <rPr>
        <b val="true"/>
        <sz val="10"/>
        <color rgb="FFFFFFFF"/>
        <rFont val="WenQuanYi Zen Hei"/>
        <family val="2"/>
      </rPr>
      <t xml:space="preserve">두피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작동거리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</si>
  <si>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권장</t>
  </si>
  <si>
    <t xml:space="preserve">2.2mm</t>
  </si>
  <si>
    <t xml:space="preserve">100°</t>
  </si>
  <si>
    <t xml:space="preserve">4.0mm</t>
  </si>
  <si>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바퀴</t>
    </r>
  </si>
  <si>
    <t xml:space="preserve">3.4mm</t>
  </si>
  <si>
    <t xml:space="preserve">사용 불가</t>
  </si>
  <si>
    <r>
      <rPr>
        <sz val="9"/>
        <color rgb="FF404040"/>
        <rFont val="WenQuanYi Zen Hei"/>
        <family val="2"/>
      </rPr>
      <t xml:space="preserve">두피에 닿아 조명이 들어가지 않음</t>
    </r>
    <r>
      <rPr>
        <sz val="9"/>
        <color rgb="FF404040"/>
        <rFont val="맑은 고딕"/>
        <family val="0"/>
        <charset val="1"/>
      </rPr>
      <t xml:space="preserve">.</t>
    </r>
  </si>
  <si>
    <t xml:space="preserve">4mm</t>
  </si>
  <si>
    <t xml:space="preserve">67°</t>
  </si>
  <si>
    <t xml:space="preserve">7.4mm</t>
  </si>
  <si>
    <r>
      <rPr>
        <sz val="10"/>
        <rFont val="맑은 고딕"/>
        <family val="0"/>
        <charset val="1"/>
      </rPr>
      <t xml:space="preserve">15</t>
    </r>
    <r>
      <rPr>
        <sz val="10"/>
        <rFont val="WenQuanYi Zen Hei"/>
        <family val="2"/>
      </rPr>
      <t xml:space="preserve">바퀴</t>
    </r>
  </si>
  <si>
    <t xml:space="preserve">6.2mm</t>
  </si>
  <si>
    <t xml:space="preserve">빠듯함</t>
  </si>
  <si>
    <r>
      <rPr>
        <sz val="9"/>
        <color rgb="FF404040"/>
        <rFont val="WenQuanYi Zen Hei"/>
        <family val="2"/>
      </rPr>
      <t xml:space="preserve">작동거리가 짧아 </t>
    </r>
    <r>
      <rPr>
        <sz val="9"/>
        <color rgb="FF404040"/>
        <rFont val="맑은 고딕"/>
        <family val="0"/>
        <charset val="1"/>
      </rPr>
      <t xml:space="preserve">LED </t>
    </r>
    <r>
      <rPr>
        <sz val="9"/>
        <color rgb="FF404040"/>
        <rFont val="WenQuanYi Zen Hei"/>
        <family val="2"/>
      </rPr>
      <t xml:space="preserve">링 넣기 어려움</t>
    </r>
    <r>
      <rPr>
        <sz val="9"/>
        <color rgb="FF404040"/>
        <rFont val="맑은 고딕"/>
        <family val="0"/>
        <charset val="1"/>
      </rPr>
      <t xml:space="preserve">.</t>
    </r>
  </si>
  <si>
    <t xml:space="preserve">6mm</t>
  </si>
  <si>
    <t xml:space="preserve">48°</t>
  </si>
  <si>
    <t xml:space="preserve">11mm</t>
  </si>
  <si>
    <r>
      <rPr>
        <sz val="10"/>
        <rFont val="맑은 고딕"/>
        <family val="0"/>
        <charset val="1"/>
      </rPr>
      <t xml:space="preserve">22</t>
    </r>
    <r>
      <rPr>
        <sz val="10"/>
        <rFont val="WenQuanYi Zen Hei"/>
        <family val="2"/>
      </rPr>
      <t xml:space="preserve">바퀴</t>
    </r>
  </si>
  <si>
    <t xml:space="preserve">9.3mm</t>
  </si>
  <si>
    <t xml:space="preserve">가능</t>
  </si>
  <si>
    <t xml:space="preserve">8mm</t>
  </si>
  <si>
    <t xml:space="preserve">37°</t>
  </si>
  <si>
    <t xml:space="preserve">15mm</t>
  </si>
  <si>
    <r>
      <rPr>
        <sz val="10"/>
        <rFont val="맑은 고딕"/>
        <family val="0"/>
        <charset val="1"/>
      </rPr>
      <t xml:space="preserve">29</t>
    </r>
    <r>
      <rPr>
        <sz val="10"/>
        <rFont val="WenQuanYi Zen Hei"/>
        <family val="2"/>
      </rPr>
      <t xml:space="preserve">바퀴</t>
    </r>
  </si>
  <si>
    <t xml:space="preserve">12mm</t>
  </si>
  <si>
    <t xml:space="preserve">★ 권장</t>
  </si>
  <si>
    <r>
      <rPr>
        <sz val="9"/>
        <color rgb="FF404040"/>
        <rFont val="맑은 고딕"/>
        <family val="0"/>
        <charset val="1"/>
      </rPr>
      <t xml:space="preserve">LED </t>
    </r>
    <r>
      <rPr>
        <sz val="9"/>
        <color rgb="FF404040"/>
        <rFont val="WenQuanYi Zen Hei"/>
        <family val="2"/>
      </rPr>
      <t xml:space="preserve">링과 경통을 넣을 공간이 확보됨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</si>
  <si>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25°</t>
  </si>
  <si>
    <t xml:space="preserve">22mm</t>
  </si>
  <si>
    <r>
      <rPr>
        <sz val="10"/>
        <rFont val="맑은 고딕"/>
        <family val="0"/>
        <charset val="1"/>
      </rPr>
      <t xml:space="preserve">44</t>
    </r>
    <r>
      <rPr>
        <sz val="10"/>
        <rFont val="WenQuanYi Zen Hei"/>
        <family val="2"/>
      </rPr>
      <t xml:space="preserve">바퀴</t>
    </r>
  </si>
  <si>
    <t xml:space="preserve">19mm</t>
  </si>
  <si>
    <r>
      <rPr>
        <sz val="9"/>
        <color rgb="FF404040"/>
        <rFont val="WenQuanYi Zen Hei"/>
        <family val="2"/>
      </rPr>
      <t xml:space="preserve">작동거리가 가장 넉넉함</t>
    </r>
    <r>
      <rPr>
        <sz val="9"/>
        <color rgb="FF404040"/>
        <rFont val="맑은 고딕"/>
        <family val="0"/>
        <charset val="1"/>
      </rPr>
      <t xml:space="preserve">.</t>
    </r>
  </si>
  <si>
    <t xml:space="preserve">16mm</t>
  </si>
  <si>
    <t xml:space="preserve">19°</t>
  </si>
  <si>
    <t xml:space="preserve">29mm</t>
  </si>
  <si>
    <r>
      <rPr>
        <sz val="10"/>
        <rFont val="맑은 고딕"/>
        <family val="0"/>
        <charset val="1"/>
      </rPr>
      <t xml:space="preserve">59</t>
    </r>
    <r>
      <rPr>
        <sz val="10"/>
        <rFont val="WenQuanYi Zen Hei"/>
        <family val="2"/>
      </rPr>
      <t xml:space="preserve">바퀴</t>
    </r>
  </si>
  <si>
    <t xml:space="preserve">25mm</t>
  </si>
  <si>
    <r>
      <rPr>
        <sz val="9"/>
        <color rgb="FF404040"/>
        <rFont val="WenQuanYi Zen Hei"/>
        <family val="2"/>
      </rPr>
      <t xml:space="preserve">연장량이 커서 익스텐션 링이 여러 개 필요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</si>
  <si>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sz val="9"/>
        <color rgb="FF404040"/>
        <rFont val="맑은 고딕"/>
        <family val="0"/>
        <charset val="1"/>
      </rPr>
      <t xml:space="preserve">※ M12 </t>
    </r>
    <r>
      <rPr>
        <sz val="9"/>
        <color rgb="FF404040"/>
        <rFont val="WenQuanYi Zen Hei"/>
        <family val="2"/>
      </rPr>
      <t xml:space="preserve">나사산은 보통 </t>
    </r>
    <r>
      <rPr>
        <sz val="9"/>
        <color rgb="FF404040"/>
        <rFont val="맑은 고딕"/>
        <family val="0"/>
        <charset val="1"/>
      </rPr>
      <t xml:space="preserve">10~18</t>
    </r>
    <r>
      <rPr>
        <sz val="9"/>
        <color rgb="FF404040"/>
        <rFont val="WenQuanYi Zen Hei"/>
        <family val="2"/>
      </rPr>
      <t xml:space="preserve">바퀴가 한계이므로 </t>
    </r>
    <r>
      <rPr>
        <sz val="9"/>
        <color rgb="FF404040"/>
        <rFont val="맑은 고딕"/>
        <family val="0"/>
        <charset val="1"/>
      </rPr>
      <t xml:space="preserve">8~12mm </t>
    </r>
    <r>
      <rPr>
        <sz val="9"/>
        <color rgb="FF404040"/>
        <rFont val="WenQuanYi Zen Hei"/>
        <family val="2"/>
      </rPr>
      <t xml:space="preserve">렌즈에는 </t>
    </r>
    <r>
      <rPr>
        <sz val="9"/>
        <color rgb="FF404040"/>
        <rFont val="맑은 고딕"/>
        <family val="0"/>
        <charset val="1"/>
      </rPr>
      <t xml:space="preserve">M12 </t>
    </r>
    <r>
      <rPr>
        <sz val="9"/>
        <color rgb="FF404040"/>
        <rFont val="WenQuanYi Zen Hei"/>
        <family val="2"/>
      </rPr>
      <t xml:space="preserve">익스텐션 링 </t>
    </r>
    <r>
      <rPr>
        <sz val="9"/>
        <color rgb="FF404040"/>
        <rFont val="맑은 고딕"/>
        <family val="0"/>
        <charset val="1"/>
      </rPr>
      <t xml:space="preserve">15~22mm</t>
    </r>
    <r>
      <rPr>
        <sz val="9"/>
        <color rgb="FF404040"/>
        <rFont val="WenQuanYi Zen Hei"/>
        <family val="2"/>
      </rPr>
      <t xml:space="preserve">가 함께 필요합니다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판매 페이지의 화각</t>
    </r>
    <r>
      <rPr>
        <sz val="9"/>
        <color rgb="FF404040"/>
        <rFont val="맑은 고딕"/>
        <family val="0"/>
        <charset val="1"/>
      </rPr>
      <t xml:space="preserve">(100°, 67° </t>
    </r>
    <r>
      <rPr>
        <sz val="9"/>
        <color rgb="FF404040"/>
        <rFont val="WenQuanYi Zen Hei"/>
        <family val="2"/>
      </rPr>
      <t xml:space="preserve">등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은 무한대 초점 기준이라 접사로 빼내는 순간 의미가 없어집니다 — 화각이 아니라 초점거리로 고르세요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</si>
  <si>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맑은 고딕"/>
        <family val="0"/>
        <charset val="1"/>
      </rPr>
      <t xml:space="preserve">■ 3. </t>
    </r>
    <r>
      <rPr>
        <b val="true"/>
        <sz val="12"/>
        <color rgb="FF1F3864"/>
        <rFont val="WenQuanYi Zen Hei"/>
        <family val="2"/>
      </rPr>
      <t xml:space="preserve">시야 폭별 해상도와 표시 배율 </t>
    </r>
    <r>
      <rPr>
        <b val="true"/>
        <sz val="12"/>
        <color rgb="FF1F3864"/>
        <rFont val="맑은 고딕"/>
        <family val="0"/>
        <charset val="1"/>
      </rPr>
      <t xml:space="preserve">(1</t>
    </r>
    <r>
      <rPr>
        <b val="true"/>
        <sz val="12"/>
        <color rgb="FF1F3864"/>
        <rFont val="WenQuanYi Zen Hei"/>
        <family val="2"/>
      </rPr>
      <t xml:space="preserve">안 </t>
    </r>
    <r>
      <rPr>
        <b val="true"/>
        <sz val="12"/>
        <color rgb="FF1F3864"/>
        <rFont val="맑은 고딕"/>
        <family val="0"/>
        <charset val="1"/>
      </rPr>
      <t xml:space="preserve">SC3336 </t>
    </r>
    <r>
      <rPr>
        <b val="true"/>
        <sz val="12"/>
        <color rgb="FF1F3864"/>
        <rFont val="WenQuanYi Zen Hei"/>
        <family val="2"/>
      </rPr>
      <t xml:space="preserve">기준</t>
    </r>
    <r>
      <rPr>
        <b val="true"/>
        <sz val="12"/>
        <color rgb="FF1F3864"/>
        <rFont val="맑은 고딕"/>
        <family val="0"/>
        <charset val="1"/>
      </rPr>
      <t xml:space="preserve">)</t>
    </r>
  </si>
  <si>
    <t xml:space="preserve">화면 가로
시야 폭</t>
  </si>
  <si>
    <t xml:space="preserve">픽셀당
실제 크기</t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</si>
  <si>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인치 폰
표시 배율</t>
    </r>
  </si>
  <si>
    <r>
      <rPr>
        <b val="true"/>
        <sz val="10"/>
        <color rgb="FFFFFFFF"/>
        <rFont val="맑은 고딕"/>
        <family val="0"/>
        <charset val="1"/>
      </rPr>
      <t xml:space="preserve">24</t>
    </r>
    <r>
      <rPr>
        <b val="true"/>
        <sz val="10"/>
        <color rgb="FFFFFFFF"/>
        <rFont val="WenQuanYi Zen Hei"/>
        <family val="2"/>
      </rPr>
      <t xml:space="preserve">인치 모니터
표시 배율</t>
    </r>
  </si>
  <si>
    <r>
      <rPr>
        <b val="true"/>
        <sz val="10"/>
        <color rgb="FFFFFFFF"/>
        <rFont val="WenQuanYi Zen Hei"/>
        <family val="2"/>
      </rPr>
      <t xml:space="preserve">렌즈</t>
    </r>
    <r>
      <rPr>
        <b val="true"/>
        <sz val="10"/>
        <color rgb="FFFFFFFF"/>
        <rFont val="맑은 고딕"/>
        <family val="0"/>
        <charset val="1"/>
      </rPr>
      <t xml:space="preserve">~</t>
    </r>
    <r>
      <rPr>
        <b val="true"/>
        <sz val="10"/>
        <color rgb="FFFFFFFF"/>
        <rFont val="WenQuanYi Zen Hei"/>
        <family val="2"/>
      </rPr>
      <t xml:space="preserve">두피
</t>
    </r>
    <r>
      <rPr>
        <b val="true"/>
        <sz val="10"/>
        <color rgb="FFFFFFFF"/>
        <rFont val="맑은 고딕"/>
        <family val="0"/>
        <charset val="1"/>
      </rPr>
      <t xml:space="preserve">(8mm </t>
    </r>
    <r>
      <rPr>
        <b val="true"/>
        <sz val="10"/>
        <color rgb="FFFFFFFF"/>
        <rFont val="WenQuanYi Zen Hei"/>
        <family val="2"/>
      </rPr>
      <t xml:space="preserve">렌즈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</si>
  <si>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머리카락
</t>
    </r>
    <r>
      <rPr>
        <b val="true"/>
        <sz val="10"/>
        <color rgb="FFFFFFFF"/>
        <rFont val="맑은 고딕"/>
        <family val="0"/>
        <charset val="1"/>
      </rPr>
      <t xml:space="preserve">(70μm)</t>
    </r>
  </si>
  <si>
    <t xml:space="preserve">실용성</t>
  </si>
  <si>
    <r>
      <rPr>
        <sz val="10"/>
        <rFont val="맑은 고딕"/>
        <family val="0"/>
        <charset val="1"/>
      </rPr>
      <t xml:space="preserve">30mm </t>
    </r>
    <r>
      <rPr>
        <sz val="10"/>
        <rFont val="WenQuanYi Zen Hei"/>
        <family val="2"/>
      </rPr>
      <t xml:space="preserve">이상</t>
    </r>
  </si>
  <si>
    <t xml:space="preserve">넓게 훑어보기 좋음</t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</si>
  <si>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20mm</t>
    </r>
  </si>
  <si>
    <t xml:space="preserve">여유 있음</t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</si>
  <si>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15mm</t>
    </r>
  </si>
  <si>
    <r>
      <rPr>
        <b val="true"/>
        <sz val="9"/>
        <color rgb="FFC00000"/>
        <rFont val="WenQuanYi Zen Hei"/>
        <family val="2"/>
      </rPr>
      <t xml:space="preserve">★ 권장 — 모공</t>
    </r>
    <r>
      <rPr>
        <b val="true"/>
        <sz val="9"/>
        <color rgb="FFC00000"/>
        <rFont val="맑은 고딕"/>
        <family val="0"/>
        <charset val="1"/>
      </rPr>
      <t xml:space="preserve">·</t>
    </r>
    <r>
      <rPr>
        <b val="true"/>
        <sz val="9"/>
        <color rgb="FFC00000"/>
        <rFont val="WenQuanYi Zen Hei"/>
        <family val="2"/>
      </rPr>
      <t xml:space="preserve">모발이 잘 보이고 쓰기 편함</t>
    </r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</si>
  <si>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11mm</t>
    </r>
  </si>
  <si>
    <t xml:space="preserve">좋음 — 실용 범위의 아래쪽</t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</si>
  <si>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8mm</t>
    </r>
  </si>
  <si>
    <t xml:space="preserve">모발 굵기까지 보이나 조명이 어려움</t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</si>
  <si>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5mm</t>
    </r>
  </si>
  <si>
    <t xml:space="preserve">두피에 닿아 사실상 사용 불가</t>
  </si>
  <si>
    <r>
      <rPr>
        <sz val="9"/>
        <color rgb="FF404040"/>
        <rFont val="맑은 고딕"/>
        <family val="0"/>
        <charset val="1"/>
      </rPr>
      <t xml:space="preserve">※ "</t>
    </r>
    <r>
      <rPr>
        <sz val="9"/>
        <color rgb="FF404040"/>
        <rFont val="WenQuanYi Zen Hei"/>
        <family val="2"/>
      </rPr>
      <t xml:space="preserve">몇 배</t>
    </r>
    <r>
      <rPr>
        <sz val="9"/>
        <color rgb="FF404040"/>
        <rFont val="맑은 고딕"/>
        <family val="0"/>
        <charset val="1"/>
      </rPr>
      <t xml:space="preserve">"</t>
    </r>
    <r>
      <rPr>
        <sz val="9"/>
        <color rgb="FF404040"/>
        <rFont val="WenQuanYi Zen Hei"/>
        <family val="2"/>
      </rPr>
      <t xml:space="preserve">는 화면 크기에 따라 달라지는 값입니다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같은 영상도 </t>
    </r>
    <r>
      <rPr>
        <sz val="9"/>
        <color rgb="FF404040"/>
        <rFont val="맑은 고딕"/>
        <family val="0"/>
        <charset val="1"/>
      </rPr>
      <t xml:space="preserve">6</t>
    </r>
    <r>
      <rPr>
        <sz val="9"/>
        <color rgb="FF404040"/>
        <rFont val="WenQuanYi Zen Hei"/>
        <family val="2"/>
      </rPr>
      <t xml:space="preserve">인치 폰과 </t>
    </r>
    <r>
      <rPr>
        <sz val="9"/>
        <color rgb="FF404040"/>
        <rFont val="맑은 고딕"/>
        <family val="0"/>
        <charset val="1"/>
      </rPr>
      <t xml:space="preserve">24</t>
    </r>
    <r>
      <rPr>
        <sz val="9"/>
        <color rgb="FF404040"/>
        <rFont val="WenQuanYi Zen Hei"/>
        <family val="2"/>
      </rPr>
      <t xml:space="preserve">인치 모니터에서 </t>
    </r>
    <r>
      <rPr>
        <sz val="9"/>
        <color rgb="FF404040"/>
        <rFont val="맑은 고딕"/>
        <family val="0"/>
        <charset val="1"/>
      </rPr>
      <t xml:space="preserve">4</t>
    </r>
    <r>
      <rPr>
        <sz val="9"/>
        <color rgb="FF404040"/>
        <rFont val="WenQuanYi Zen Hei"/>
        <family val="2"/>
      </rPr>
      <t xml:space="preserve">배 차이가 납니다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시중 두피 진단기의 배율 표기는 모니터 기준이므로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사양을 관리할 때는 배율이 아니라 시야 폭</t>
    </r>
    <r>
      <rPr>
        <sz val="9"/>
        <color rgb="FF404040"/>
        <rFont val="맑은 고딕"/>
        <family val="0"/>
        <charset val="1"/>
      </rPr>
      <t xml:space="preserve">(mm)</t>
    </r>
    <r>
      <rPr>
        <sz val="9"/>
        <color rgb="FF404040"/>
        <rFont val="WenQuanYi Zen Hei"/>
        <family val="2"/>
      </rPr>
      <t xml:space="preserve">으로 잡아야 합니다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</si>
  <si>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맑은 고딕"/>
        <family val="0"/>
        <charset val="1"/>
      </rPr>
      <t xml:space="preserve">■ 4. </t>
    </r>
    <r>
      <rPr>
        <b val="true"/>
        <sz val="12"/>
        <color rgb="FF1F3864"/>
        <rFont val="WenQuanYi Zen Hei"/>
        <family val="2"/>
      </rPr>
      <t xml:space="preserve">실제 해상력 비교 — 시야 폭 </t>
    </r>
    <r>
      <rPr>
        <b val="true"/>
        <sz val="12"/>
        <color rgb="FF1F3864"/>
        <rFont val="맑은 고딕"/>
        <family val="0"/>
        <charset val="1"/>
      </rPr>
      <t xml:space="preserve">4mm </t>
    </r>
    <r>
      <rPr>
        <b val="true"/>
        <sz val="12"/>
        <color rgb="FF1F3864"/>
        <rFont val="WenQuanYi Zen Hei"/>
        <family val="2"/>
      </rPr>
      <t xml:space="preserve">조건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</si>
  <si>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안 — </t>
    </r>
    <r>
      <rPr>
        <b val="true"/>
        <sz val="10"/>
        <color rgb="FFFFFFFF"/>
        <rFont val="맑은 고딕"/>
        <family val="0"/>
        <charset val="1"/>
      </rPr>
      <t xml:space="preserve">SC3336 (3MP)</t>
    </r>
  </si>
  <si>
    <t xml:space="preserve">광학 배율</t>
  </si>
  <si>
    <r>
      <rPr>
        <sz val="9"/>
        <color rgb="FF404040"/>
        <rFont val="WenQuanYi Zen Hei"/>
        <family val="2"/>
      </rPr>
      <t xml:space="preserve">센서가 클수록 같은 시야를 담는 데 더 높은 배율이 필요합니다 → 연장량과 조명 부담이 함께 늘어납니다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</si>
  <si>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유효 조리개</t>
  </si>
  <si>
    <r>
      <rPr>
        <sz val="9"/>
        <color rgb="FF404040"/>
        <rFont val="WenQuanYi Zen Hei"/>
        <family val="2"/>
      </rPr>
      <t xml:space="preserve">접사에서는 조리개가 </t>
    </r>
    <r>
      <rPr>
        <sz val="9"/>
        <color rgb="FF404040"/>
        <rFont val="맑은 고딕"/>
        <family val="0"/>
        <charset val="1"/>
      </rPr>
      <t xml:space="preserve">F × (1 + </t>
    </r>
    <r>
      <rPr>
        <sz val="9"/>
        <color rgb="FF404040"/>
        <rFont val="WenQuanYi Zen Hei"/>
        <family val="2"/>
      </rPr>
      <t xml:space="preserve">배율</t>
    </r>
    <r>
      <rPr>
        <sz val="9"/>
        <color rgb="FF404040"/>
        <rFont val="맑은 고딕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로 커집니다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배율이 높을수록 빛이 급격히 줄고 회절이 심해집니다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</si>
  <si>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회절 한계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피사체 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</si>
  <si>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404040"/>
        <rFont val="WenQuanYi Zen Hei"/>
        <family val="2"/>
      </rPr>
      <t xml:space="preserve">★ 핵심 — 명목 화소는 </t>
    </r>
    <r>
      <rPr>
        <sz val="9"/>
        <color rgb="FF404040"/>
        <rFont val="맑은 고딕"/>
        <family val="0"/>
        <charset val="1"/>
      </rPr>
      <t xml:space="preserve">21</t>
    </r>
    <r>
      <rPr>
        <sz val="9"/>
        <color rgb="FF404040"/>
        <rFont val="WenQuanYi Zen Hei"/>
        <family val="2"/>
      </rPr>
      <t xml:space="preserve">배</t>
    </r>
    <r>
      <rPr>
        <sz val="9"/>
        <color rgb="FF404040"/>
        <rFont val="맑은 고딕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선형 </t>
    </r>
    <r>
      <rPr>
        <sz val="9"/>
        <color rgb="FF404040"/>
        <rFont val="맑은 고딕"/>
        <family val="0"/>
        <charset val="1"/>
      </rPr>
      <t xml:space="preserve">4.6</t>
    </r>
    <r>
      <rPr>
        <sz val="9"/>
        <color rgb="FF404040"/>
        <rFont val="WenQuanYi Zen Hei"/>
        <family val="2"/>
      </rPr>
      <t xml:space="preserve">배</t>
    </r>
    <r>
      <rPr>
        <sz val="9"/>
        <color rgb="FF404040"/>
        <rFont val="맑은 고딕"/>
        <family val="0"/>
        <charset val="1"/>
      </rPr>
      <t xml:space="preserve">) </t>
    </r>
    <r>
      <rPr>
        <sz val="9"/>
        <color rgb="FF404040"/>
        <rFont val="WenQuanYi Zen Hei"/>
        <family val="2"/>
      </rPr>
      <t xml:space="preserve">차이지만</t>
    </r>
    <r>
      <rPr>
        <sz val="9"/>
        <color rgb="FF404040"/>
        <rFont val="맑은 고딕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실제로 구분할 수 있는 크기의 차이는 약 </t>
    </r>
    <r>
      <rPr>
        <sz val="9"/>
        <color rgb="FF404040"/>
        <rFont val="맑은 고딕"/>
        <family val="0"/>
        <charset val="1"/>
      </rPr>
      <t xml:space="preserve">15%</t>
    </r>
    <r>
      <rPr>
        <sz val="9"/>
        <color rgb="FF404040"/>
        <rFont val="WenQuanYi Zen Hei"/>
        <family val="2"/>
      </rPr>
      <t xml:space="preserve">에 불과합니다</t>
    </r>
    <r>
      <rPr>
        <sz val="9"/>
        <color rgb="FF404040"/>
        <rFont val="맑은 고딕"/>
        <family val="0"/>
        <charset val="1"/>
      </rPr>
      <t xml:space="preserve">.</t>
    </r>
  </si>
  <si>
    <t xml:space="preserve">센서 샘플링</t>
  </si>
  <si>
    <r>
      <rPr>
        <sz val="9"/>
        <color rgb="FF404040"/>
        <rFont val="맑은 고딕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안은 광학 한계</t>
    </r>
    <r>
      <rPr>
        <sz val="9"/>
        <color rgb="FF404040"/>
        <rFont val="맑은 고딕"/>
        <family val="0"/>
        <charset val="1"/>
      </rPr>
      <t xml:space="preserve">(4.8μm)</t>
    </r>
    <r>
      <rPr>
        <sz val="9"/>
        <color rgb="FF404040"/>
        <rFont val="WenQuanYi Zen Hei"/>
        <family val="2"/>
      </rPr>
      <t xml:space="preserve">보다 촘촘하게 이미 샘플링하고 있습니다</t>
    </r>
    <r>
      <rPr>
        <sz val="9"/>
        <color rgb="FF404040"/>
        <rFont val="맑은 고딕"/>
        <family val="0"/>
        <charset val="1"/>
      </rPr>
      <t xml:space="preserve">. 2</t>
    </r>
    <r>
      <rPr>
        <sz val="9"/>
        <color rgb="FF404040"/>
        <rFont val="WenQuanYi Zen Hei"/>
        <family val="2"/>
      </rPr>
      <t xml:space="preserve">안은 약 </t>
    </r>
    <r>
      <rPr>
        <sz val="9"/>
        <color rgb="FF404040"/>
        <rFont val="맑은 고딕"/>
        <family val="0"/>
        <charset val="1"/>
      </rPr>
      <t xml:space="preserve">4.7</t>
    </r>
    <r>
      <rPr>
        <sz val="9"/>
        <color rgb="FF404040"/>
        <rFont val="WenQuanYi Zen Hei"/>
        <family val="2"/>
      </rPr>
      <t xml:space="preserve">배 과샘플링으로 낭비입니다</t>
    </r>
    <r>
      <rPr>
        <sz val="9"/>
        <color rgb="FF404040"/>
        <rFont val="맑은 고딕"/>
        <family val="0"/>
        <charset val="1"/>
      </rPr>
      <t xml:space="preserve">.</t>
    </r>
  </si>
  <si>
    <t xml:space="preserve">병목</t>
  </si>
  <si>
    <t xml:space="preserve">광학 — 센서는 이미 충분함</t>
  </si>
  <si>
    <r>
      <rPr>
        <sz val="10"/>
        <rFont val="WenQuanYi Zen Hei"/>
        <family val="2"/>
      </rPr>
      <t xml:space="preserve">광학 — 센서는 약 </t>
    </r>
    <r>
      <rPr>
        <sz val="10"/>
        <rFont val="맑은 고딕"/>
        <family val="0"/>
        <charset val="1"/>
      </rPr>
      <t xml:space="preserve">4.7</t>
    </r>
    <r>
      <rPr>
        <sz val="10"/>
        <rFont val="WenQuanYi Zen Hei"/>
        <family val="2"/>
      </rPr>
      <t xml:space="preserve">배 과샘플링</t>
    </r>
  </si>
  <si>
    <r>
      <rPr>
        <sz val="9"/>
        <color rgb="FF404040"/>
        <rFont val="WenQuanYi Zen Hei"/>
        <family val="2"/>
      </rPr>
      <t xml:space="preserve">양쪽 모두 한계를 정하는 것은 렌즈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조명</t>
    </r>
    <r>
      <rPr>
        <sz val="9"/>
        <color rgb="FF404040"/>
        <rFont val="맑은 고딕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거리 고정이며 화소가 아닙니다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</si>
  <si>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2"/>
        <color rgb="FF1F3864"/>
        <rFont val="맑은 고딕"/>
        <family val="0"/>
        <charset val="1"/>
      </rPr>
      <t xml:space="preserve">■ 5. 2</t>
    </r>
    <r>
      <rPr>
        <b val="true"/>
        <sz val="12"/>
        <color rgb="FF1F3864"/>
        <rFont val="WenQuanYi Zen Hei"/>
        <family val="2"/>
      </rPr>
      <t xml:space="preserve">안 </t>
    </r>
    <r>
      <rPr>
        <b val="true"/>
        <sz val="12"/>
        <color rgb="FF1F3864"/>
        <rFont val="맑은 고딕"/>
        <family val="0"/>
        <charset val="1"/>
      </rPr>
      <t xml:space="preserve">"64MP" </t>
    </r>
    <r>
      <rPr>
        <b val="true"/>
        <sz val="12"/>
        <color rgb="FF1F3864"/>
        <rFont val="WenQuanYi Zen Hei"/>
        <family val="2"/>
      </rPr>
      <t xml:space="preserve">표기가 실제로 도달하는 값</t>
    </r>
  </si>
  <si>
    <t xml:space="preserve">단계</t>
  </si>
  <si>
    <t xml:space="preserve">화소</t>
  </si>
  <si>
    <t xml:space="preserve">깎이는 이유</t>
  </si>
  <si>
    <t xml:space="preserve">① 카탈로그 표기</t>
  </si>
  <si>
    <t xml:space="preserve">64MP</t>
  </si>
  <si>
    <r>
      <rPr>
        <sz val="9"/>
        <color rgb="FF404040"/>
        <rFont val="WenQuanYi Zen Hei"/>
        <family val="2"/>
      </rPr>
      <t xml:space="preserve">센서의 명목 최대 화소</t>
    </r>
    <r>
      <rPr>
        <sz val="9"/>
        <color rgb="FF404040"/>
        <rFont val="맑은 고딕"/>
        <family val="0"/>
        <charset val="1"/>
      </rPr>
      <t xml:space="preserve">.</t>
    </r>
  </si>
  <si>
    <t xml:space="preserve">② 저조도 비닝 후</t>
  </si>
  <si>
    <t xml:space="preserve">16MP</t>
  </si>
  <si>
    <r>
      <rPr>
        <sz val="9"/>
        <color rgb="FF404040"/>
        <rFont val="맑은 고딕"/>
        <family val="0"/>
        <charset val="1"/>
      </rPr>
      <t xml:space="preserve">4:1 </t>
    </r>
    <r>
      <rPr>
        <sz val="9"/>
        <color rgb="FF404040"/>
        <rFont val="WenQuanYi Zen Hei"/>
        <family val="2"/>
      </rPr>
      <t xml:space="preserve">비닝</t>
    </r>
    <r>
      <rPr>
        <sz val="9"/>
        <color rgb="FF404040"/>
        <rFont val="맑은 고딕"/>
        <family val="0"/>
        <charset val="1"/>
      </rPr>
      <t xml:space="preserve">(0.8μm → 1.6μm)</t>
    </r>
    <r>
      <rPr>
        <sz val="9"/>
        <color rgb="FF404040"/>
        <rFont val="WenQuanYi Zen Hei"/>
        <family val="2"/>
      </rPr>
      <t xml:space="preserve">으로 감도를 확보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접사는 빛이 부족해 사실상 이 모드로 동작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</si>
  <si>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rFont val="맑은 고딕"/>
        <family val="0"/>
        <charset val="1"/>
      </rPr>
      <t xml:space="preserve">③ PX30 ISP </t>
    </r>
    <r>
      <rPr>
        <b val="true"/>
        <sz val="10"/>
        <rFont val="WenQuanYi Zen Hei"/>
        <family val="2"/>
      </rPr>
      <t xml:space="preserve">상한</t>
    </r>
  </si>
  <si>
    <t xml:space="preserve">8MP</t>
  </si>
  <si>
    <r>
      <rPr>
        <sz val="9"/>
        <color rgb="FF404040"/>
        <rFont val="맑은 고딕"/>
        <family val="0"/>
        <charset val="1"/>
      </rPr>
      <t xml:space="preserve">PX30</t>
    </r>
    <r>
      <rPr>
        <sz val="9"/>
        <color rgb="FF404040"/>
        <rFont val="WenQuanYi Zen Hei"/>
        <family val="2"/>
      </rPr>
      <t xml:space="preserve">의 </t>
    </r>
    <r>
      <rPr>
        <sz val="9"/>
        <color rgb="FF404040"/>
        <rFont val="맑은 고딕"/>
        <family val="0"/>
        <charset val="1"/>
      </rPr>
      <t xml:space="preserve">ISP</t>
    </r>
    <r>
      <rPr>
        <sz val="9"/>
        <color rgb="FF404040"/>
        <rFont val="WenQuanYi Zen Hei"/>
        <family val="2"/>
      </rPr>
      <t xml:space="preserve">가 </t>
    </r>
    <r>
      <rPr>
        <sz val="9"/>
        <color rgb="FF404040"/>
        <rFont val="맑은 고딕"/>
        <family val="0"/>
        <charset val="1"/>
      </rPr>
      <t xml:space="preserve">8MP</t>
    </r>
    <r>
      <rPr>
        <sz val="9"/>
        <color rgb="FF404040"/>
        <rFont val="WenQuanYi Zen Hei"/>
        <family val="2"/>
      </rPr>
      <t xml:space="preserve">까지만 처리</t>
    </r>
    <r>
      <rPr>
        <sz val="9"/>
        <color rgb="FF404040"/>
        <rFont val="맑은 고딕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이 위로는 실시간 경로가 없음</t>
    </r>
    <r>
      <rPr>
        <sz val="9"/>
        <color rgb="FF404040"/>
        <rFont val="맑은 고딕"/>
        <family val="0"/>
        <charset val="1"/>
      </rPr>
      <t xml:space="preserve">.</t>
    </r>
  </si>
  <si>
    <t xml:space="preserve">④ 실시간 스트리밍</t>
  </si>
  <si>
    <t xml:space="preserve">2MP (1080p)</t>
  </si>
  <si>
    <r>
      <rPr>
        <sz val="9"/>
        <color rgb="FF404040"/>
        <rFont val="맑은 고딕"/>
        <family val="0"/>
        <charset val="1"/>
      </rPr>
      <t xml:space="preserve">PX30</t>
    </r>
    <r>
      <rPr>
        <sz val="9"/>
        <color rgb="FF404040"/>
        <rFont val="WenQuanYi Zen Hei"/>
        <family val="2"/>
      </rPr>
      <t xml:space="preserve">의 </t>
    </r>
    <r>
      <rPr>
        <sz val="9"/>
        <color rgb="FF404040"/>
        <rFont val="맑은 고딕"/>
        <family val="0"/>
        <charset val="1"/>
      </rPr>
      <t xml:space="preserve">H.264 </t>
    </r>
    <r>
      <rPr>
        <sz val="9"/>
        <color rgb="FF404040"/>
        <rFont val="WenQuanYi Zen Hei"/>
        <family val="2"/>
      </rPr>
      <t xml:space="preserve">인코더가 </t>
    </r>
    <r>
      <rPr>
        <sz val="9"/>
        <color rgb="FF404040"/>
        <rFont val="맑은 고딕"/>
        <family val="0"/>
        <charset val="1"/>
      </rPr>
      <t xml:space="preserve">1080p@30fps</t>
    </r>
    <r>
      <rPr>
        <sz val="9"/>
        <color rgb="FF404040"/>
        <rFont val="WenQuanYi Zen Hei"/>
        <family val="2"/>
      </rPr>
      <t xml:space="preserve">까지 지원</t>
    </r>
    <r>
      <rPr>
        <sz val="9"/>
        <color rgb="FF404040"/>
        <rFont val="맑은 고딕"/>
        <family val="0"/>
        <charset val="1"/>
      </rPr>
      <t xml:space="preserve">.</t>
    </r>
  </si>
  <si>
    <r>
      <rPr>
        <b val="true"/>
        <sz val="10"/>
        <color rgb="FF1F3864"/>
        <rFont val="WenQuanYi Zen Hei"/>
        <family val="2"/>
      </rPr>
      <t xml:space="preserve">결론 — 두피 관찰에서 화소는 이미 병목이 아닙니다</t>
    </r>
    <r>
      <rPr>
        <b val="true"/>
        <sz val="10"/>
        <color rgb="FF1F3864"/>
        <rFont val="맑은 고딕"/>
        <family val="0"/>
        <charset val="1"/>
      </rPr>
      <t xml:space="preserve">. </t>
    </r>
    <r>
      <rPr>
        <b val="true"/>
        <sz val="10"/>
        <color rgb="FF1F3864"/>
        <rFont val="WenQuanYi Zen Hei"/>
        <family val="2"/>
      </rPr>
      <t xml:space="preserve">권장 조건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시야 폭 </t>
    </r>
    <r>
      <rPr>
        <b val="true"/>
        <sz val="10"/>
        <color rgb="FF1F3864"/>
        <rFont val="맑은 고딕"/>
        <family val="0"/>
        <charset val="1"/>
      </rPr>
      <t xml:space="preserve">4mm)</t>
    </r>
    <r>
      <rPr>
        <b val="true"/>
        <sz val="10"/>
        <color rgb="FF1F3864"/>
        <rFont val="WenQuanYi Zen Hei"/>
        <family val="2"/>
      </rPr>
      <t xml:space="preserve">에서 </t>
    </r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안은 픽셀당 </t>
    </r>
    <r>
      <rPr>
        <b val="true"/>
        <sz val="10"/>
        <color rgb="FF1F3864"/>
        <rFont val="맑은 고딕"/>
        <family val="0"/>
        <charset val="1"/>
      </rPr>
      <t xml:space="preserve">1.74μm</t>
    </r>
    <r>
      <rPr>
        <b val="true"/>
        <sz val="10"/>
        <color rgb="FF1F3864"/>
        <rFont val="WenQuanYi Zen Hei"/>
        <family val="2"/>
      </rPr>
      <t xml:space="preserve">로</t>
    </r>
    <r>
      <rPr>
        <b val="true"/>
        <sz val="10"/>
        <color rgb="FF1F3864"/>
        <rFont val="맑은 고딕"/>
        <family val="0"/>
        <charset val="1"/>
      </rPr>
      <t xml:space="preserve">, </t>
    </r>
    <r>
      <rPr>
        <b val="true"/>
        <sz val="10"/>
        <color rgb="FF1F3864"/>
        <rFont val="WenQuanYi Zen Hei"/>
        <family val="2"/>
      </rPr>
      <t xml:space="preserve">광학이 만들어낼 수 있는 한계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WenQuanYi Zen Hei"/>
        <family val="2"/>
      </rPr>
      <t xml:space="preserve">약 </t>
    </r>
    <r>
      <rPr>
        <b val="true"/>
        <sz val="10"/>
        <color rgb="FF1F3864"/>
        <rFont val="맑은 고딕"/>
        <family val="0"/>
        <charset val="1"/>
      </rPr>
      <t xml:space="preserve">4.8μm)</t>
    </r>
    <r>
      <rPr>
        <b val="true"/>
        <sz val="10"/>
        <color rgb="FF1F3864"/>
        <rFont val="WenQuanYi Zen Hei"/>
        <family val="2"/>
      </rPr>
      <t xml:space="preserve">보다 촘촘하게 샘플링하고 있습니다</t>
    </r>
    <r>
      <rPr>
        <b val="true"/>
        <sz val="10"/>
        <color rgb="FF1F3864"/>
        <rFont val="맑은 고딕"/>
        <family val="0"/>
        <charset val="1"/>
      </rPr>
      <t xml:space="preserve">. </t>
    </r>
    <r>
      <rPr>
        <b val="true"/>
        <sz val="10"/>
        <color rgb="FF1F3864"/>
        <rFont val="WenQuanYi Zen Hei"/>
        <family val="2"/>
      </rPr>
      <t xml:space="preserve">즉 지금도 렌즈가 만든 정보를 남김없이 담고 있어서</t>
    </r>
    <r>
      <rPr>
        <b val="true"/>
        <sz val="10"/>
        <color rgb="FF1F3864"/>
        <rFont val="맑은 고딕"/>
        <family val="0"/>
        <charset val="1"/>
      </rPr>
      <t xml:space="preserve">, </t>
    </r>
    <r>
      <rPr>
        <b val="true"/>
        <sz val="10"/>
        <color rgb="FF1F3864"/>
        <rFont val="WenQuanYi Zen Hei"/>
        <family val="2"/>
      </rPr>
      <t xml:space="preserve">화소를 늘려도 더 보이는 것이 없습니다</t>
    </r>
    <r>
      <rPr>
        <b val="true"/>
        <sz val="10"/>
        <color rgb="FF1F3864"/>
        <rFont val="맑은 고딕"/>
        <family val="0"/>
        <charset val="1"/>
      </rPr>
      <t xml:space="preserve">. 64MP</t>
    </r>
    <r>
      <rPr>
        <b val="true"/>
        <sz val="10"/>
        <color rgb="FF1F3864"/>
        <rFont val="WenQuanYi Zen Hei"/>
        <family val="2"/>
      </rPr>
      <t xml:space="preserve">로 올려도 실제 구분 가능한 크기는 약 </t>
    </r>
    <r>
      <rPr>
        <b val="true"/>
        <sz val="10"/>
        <color rgb="FF1F3864"/>
        <rFont val="맑은 고딕"/>
        <family val="0"/>
        <charset val="1"/>
      </rPr>
      <t xml:space="preserve">15%</t>
    </r>
    <r>
      <rPr>
        <b val="true"/>
        <sz val="10"/>
        <color rgb="FF1F3864"/>
        <rFont val="WenQuanYi Zen Hei"/>
        <family val="2"/>
      </rPr>
      <t xml:space="preserve">만 좋아지는 반면</t>
    </r>
    <r>
      <rPr>
        <b val="true"/>
        <sz val="10"/>
        <color rgb="FF1F3864"/>
        <rFont val="맑은 고딕"/>
        <family val="0"/>
        <charset val="1"/>
      </rPr>
      <t xml:space="preserve">, </t>
    </r>
    <r>
      <rPr>
        <b val="true"/>
        <sz val="10"/>
        <color rgb="FF1F3864"/>
        <rFont val="WenQuanYi Zen Hei"/>
        <family val="2"/>
      </rPr>
      <t xml:space="preserve">픽셀이 </t>
    </r>
    <r>
      <rPr>
        <b val="true"/>
        <sz val="10"/>
        <color rgb="FF1F3864"/>
        <rFont val="맑은 고딕"/>
        <family val="0"/>
        <charset val="1"/>
      </rPr>
      <t xml:space="preserve">0.8μm</t>
    </r>
    <r>
      <rPr>
        <b val="true"/>
        <sz val="10"/>
        <color rgb="FF1F3864"/>
        <rFont val="WenQuanYi Zen Hei"/>
        <family val="2"/>
      </rPr>
      <t xml:space="preserve">로 작아져 접사에서 가장 부족한 빛에는 오히려 불리해집니다</t>
    </r>
    <r>
      <rPr>
        <b val="true"/>
        <sz val="10"/>
        <color rgb="FF1F3864"/>
        <rFont val="맑은 고딕"/>
        <family val="0"/>
        <charset val="1"/>
      </rPr>
      <t xml:space="preserve">. </t>
    </r>
    <r>
      <rPr>
        <b val="true"/>
        <sz val="10"/>
        <color rgb="FF1F3864"/>
        <rFont val="WenQuanYi Zen Hei"/>
        <family val="2"/>
      </rPr>
      <t xml:space="preserve">결과를 가르는 것은 ① </t>
    </r>
    <r>
      <rPr>
        <b val="true"/>
        <sz val="10"/>
        <color rgb="FF1F3864"/>
        <rFont val="맑은 고딕"/>
        <family val="0"/>
        <charset val="1"/>
      </rPr>
      <t xml:space="preserve">8~12mm </t>
    </r>
    <r>
      <rPr>
        <b val="true"/>
        <sz val="10"/>
        <color rgb="FF1F3864"/>
        <rFont val="WenQuanYi Zen Hei"/>
        <family val="2"/>
      </rPr>
      <t xml:space="preserve">렌즈 </t>
    </r>
    <r>
      <rPr>
        <b val="true"/>
        <sz val="10"/>
        <color rgb="FF1F3864"/>
        <rFont val="맑은 고딕"/>
        <family val="0"/>
        <charset val="1"/>
      </rPr>
      <t xml:space="preserve">+ </t>
    </r>
    <r>
      <rPr>
        <b val="true"/>
        <sz val="10"/>
        <color rgb="FF1F3864"/>
        <rFont val="WenQuanYi Zen Hei"/>
        <family val="2"/>
      </rPr>
      <t xml:space="preserve">익스텐션 링</t>
    </r>
    <r>
      <rPr>
        <b val="true"/>
        <sz val="10"/>
        <color rgb="FF1F3864"/>
        <rFont val="맑은 고딕"/>
        <family val="0"/>
        <charset val="1"/>
      </rPr>
      <t xml:space="preserve">, ② LED </t>
    </r>
    <r>
      <rPr>
        <b val="true"/>
        <sz val="10"/>
        <color rgb="FF1F3864"/>
        <rFont val="WenQuanYi Zen Hei"/>
        <family val="2"/>
      </rPr>
      <t xml:space="preserve">링 조명</t>
    </r>
    <r>
      <rPr>
        <b val="true"/>
        <sz val="10"/>
        <color rgb="FF1F3864"/>
        <rFont val="맑은 고딕"/>
        <family val="0"/>
        <charset val="1"/>
      </rPr>
      <t xml:space="preserve">, ③ </t>
    </r>
    <r>
      <rPr>
        <b val="true"/>
        <sz val="10"/>
        <color rgb="FF1F3864"/>
        <rFont val="WenQuanYi Zen Hei"/>
        <family val="2"/>
      </rPr>
      <t xml:space="preserve">거리 고정 경통</t>
    </r>
    <r>
      <rPr>
        <b val="true"/>
        <sz val="10"/>
        <color rgb="FF1F3864"/>
        <rFont val="맑은 고딕"/>
        <family val="0"/>
        <charset val="1"/>
      </rPr>
      <t xml:space="preserve">, ④ </t>
    </r>
    <r>
      <rPr>
        <b val="true"/>
        <sz val="10"/>
        <color rgb="FF1F3864"/>
        <rFont val="WenQuanYi Zen Hei"/>
        <family val="2"/>
      </rPr>
      <t xml:space="preserve">노출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WenQuanYi Zen Hei"/>
        <family val="2"/>
      </rPr>
      <t xml:space="preserve">화이트밸런스 고정 이 네 가지입니다</t>
    </r>
    <r>
      <rPr>
        <b val="true"/>
        <sz val="10"/>
        <color rgb="FF1F3864"/>
        <rFont val="맑은 고딕"/>
        <family val="0"/>
        <charset val="1"/>
      </rPr>
      <t xml:space="preserve">.</t>
    </r>
  </si>
  <si>
    <r>
      <rPr>
        <b val="true"/>
        <sz val="10"/>
        <color rgb="FFC00000"/>
        <rFont val="WenQuanYi Zen Hei"/>
        <family val="2"/>
      </rPr>
      <t xml:space="preserve">※ 최초 업로드본입니다</t>
    </r>
    <r>
      <rPr>
        <b val="true"/>
        <sz val="10"/>
        <color rgb="FFC00000"/>
        <rFont val="맑은 고딕"/>
        <family val="0"/>
        <charset val="1"/>
      </rPr>
      <t xml:space="preserve">. </t>
    </r>
    <r>
      <rPr>
        <b val="true"/>
        <sz val="10"/>
        <color rgb="FFC00000"/>
        <rFont val="WenQuanYi Zen Hei"/>
        <family val="2"/>
      </rPr>
      <t xml:space="preserve">아래 수치는 갱신 전 값이므로 현재 단가는 첫 번째 시트를 보세요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</si>
  <si>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: RV1106G3 </t>
    </r>
    <r>
      <rPr>
        <b val="true"/>
        <sz val="10"/>
        <color rgb="FFFFFFFF"/>
        <rFont val="WenQuanYi Zen Hei"/>
        <family val="2"/>
      </rPr>
      <t xml:space="preserve">기반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</si>
  <si>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맑은 고딕"/>
        <family val="0"/>
        <charset val="1"/>
      </rPr>
      <t xml:space="preserve">: PX30 </t>
    </r>
    <r>
      <rPr>
        <b val="true"/>
        <sz val="10"/>
        <color rgb="FFFFFFFF"/>
        <rFont val="WenQuanYi Zen Hei"/>
        <family val="2"/>
      </rPr>
      <t xml:space="preserve">기반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첨부 이미지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</si>
  <si>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단가 차이 및 특징 비교</t>
  </si>
  <si>
    <r>
      <rPr>
        <sz val="10"/>
        <rFont val="WenQuanYi Zen Hei"/>
        <family val="2"/>
      </rPr>
      <t xml:space="preserve">메인 </t>
    </r>
    <r>
      <rPr>
        <sz val="10"/>
        <rFont val="맑은 고딕"/>
        <family val="0"/>
        <charset val="1"/>
      </rPr>
      <t xml:space="preserve">SoC</t>
    </r>
  </si>
  <si>
    <r>
      <rPr>
        <sz val="10"/>
        <rFont val="맑은 고딕"/>
        <family val="0"/>
        <charset val="1"/>
      </rPr>
      <t xml:space="preserve">RV1106G3 (Rockchip)
</t>
    </r>
    <r>
      <rPr>
        <sz val="10"/>
        <rFont val="WenQuanYi Zen Hei"/>
        <family val="2"/>
      </rPr>
      <t xml:space="preserve">예상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29,000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~ 33,000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</si>
  <si>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PX30 (Rockchip)
</t>
    </r>
    <r>
      <rPr>
        <sz val="10"/>
        <rFont val="WenQuanYi Zen Hei"/>
        <family val="2"/>
      </rPr>
      <t xml:space="preserve">단가</t>
    </r>
    <r>
      <rPr>
        <sz val="10"/>
        <rFont val="맑은 고딕"/>
        <family val="0"/>
        <charset val="1"/>
      </rPr>
      <t xml:space="preserve">: 6,780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</si>
  <si>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PX30 </t>
    </r>
    <r>
      <rPr>
        <sz val="10"/>
        <rFont val="WenQuanYi Zen Hei"/>
        <family val="2"/>
      </rPr>
      <t xml:space="preserve">칩 자체는 매우 저렴하나</t>
    </r>
    <r>
      <rPr>
        <sz val="10"/>
        <rFont val="맑은 고딕"/>
        <family val="0"/>
        <charset val="1"/>
      </rPr>
      <t xml:space="preserve">, RV1106G3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NPU</t>
    </r>
    <r>
      <rPr>
        <sz val="10"/>
        <rFont val="WenQuanYi Zen Hei"/>
        <family val="2"/>
      </rPr>
      <t xml:space="preserve">와 </t>
    </r>
    <r>
      <rPr>
        <sz val="10"/>
        <rFont val="맑은 고딕"/>
        <family val="0"/>
        <charset val="1"/>
      </rPr>
      <t xml:space="preserve">ISP, DDR </t>
    </r>
    <r>
      <rPr>
        <sz val="10"/>
        <rFont val="WenQuanYi Zen Hei"/>
        <family val="2"/>
      </rPr>
      <t xml:space="preserve">메모리가 내장</t>
    </r>
    <r>
      <rPr>
        <sz val="10"/>
        <rFont val="맑은 고딕"/>
        <family val="0"/>
        <charset val="1"/>
      </rPr>
      <t xml:space="preserve">(SIP)</t>
    </r>
    <r>
      <rPr>
        <sz val="10"/>
        <rFont val="WenQuanYi Zen Hei"/>
        <family val="2"/>
      </rPr>
      <t xml:space="preserve">되어 있어 칩 단가는 높고 주변 회로는 단순해집니다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</si>
  <si>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SoC </t>
    </r>
    <r>
      <rPr>
        <sz val="10"/>
        <rFont val="WenQuanYi Zen Hei"/>
        <family val="2"/>
      </rPr>
      <t xml:space="preserve">내장형 </t>
    </r>
    <r>
      <rPr>
        <sz val="10"/>
        <rFont val="맑은 고딕"/>
        <family val="0"/>
        <charset val="1"/>
      </rPr>
      <t xml:space="preserve">(SIP Memory)
</t>
    </r>
    <r>
      <rPr>
        <sz val="10"/>
        <rFont val="WenQuanYi Zen Hei"/>
        <family val="2"/>
      </rPr>
      <t xml:space="preserve">비용 추가 없음</t>
    </r>
  </si>
  <si>
    <r>
      <rPr>
        <sz val="10"/>
        <rFont val="맑은 고딕"/>
        <family val="0"/>
        <charset val="1"/>
      </rPr>
      <t xml:space="preserve">H5TQ4G63EFR (SK Hynix) x 2</t>
    </r>
    <r>
      <rPr>
        <sz val="10"/>
        <rFont val="WenQuanYi Zen Hei"/>
        <family val="2"/>
      </rPr>
      <t xml:space="preserve">개
단가</t>
    </r>
    <r>
      <rPr>
        <sz val="10"/>
        <rFont val="맑은 고딕"/>
        <family val="0"/>
        <charset val="1"/>
      </rPr>
      <t xml:space="preserve">: 34,200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(17,100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x 2)</t>
    </r>
  </si>
  <si>
    <r>
      <rPr>
        <sz val="10"/>
        <rFont val="맑은 고딕"/>
        <family val="0"/>
        <charset val="1"/>
      </rPr>
      <t xml:space="preserve">PX30</t>
    </r>
    <r>
      <rPr>
        <sz val="10"/>
        <rFont val="WenQuanYi Zen Hei"/>
        <family val="2"/>
      </rPr>
      <t xml:space="preserve">은 외부 </t>
    </r>
    <r>
      <rPr>
        <sz val="10"/>
        <rFont val="맑은 고딕"/>
        <family val="0"/>
        <charset val="1"/>
      </rPr>
      <t xml:space="preserve">RAM</t>
    </r>
    <r>
      <rPr>
        <sz val="10"/>
        <rFont val="WenQuanYi Zen Hei"/>
        <family val="2"/>
      </rPr>
      <t xml:space="preserve">이 필수적이며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첨부된 견적에서는 </t>
    </r>
    <r>
      <rPr>
        <sz val="10"/>
        <rFont val="맑은 고딕"/>
        <family val="0"/>
        <charset val="1"/>
      </rPr>
      <t xml:space="preserve">RAM(DDR3 1GB) </t>
    </r>
    <r>
      <rPr>
        <sz val="10"/>
        <rFont val="WenQuanYi Zen Hei"/>
        <family val="2"/>
      </rPr>
      <t xml:space="preserve">비용이 </t>
    </r>
    <r>
      <rPr>
        <sz val="10"/>
        <rFont val="맑은 고딕"/>
        <family val="0"/>
        <charset val="1"/>
      </rPr>
      <t xml:space="preserve">BOM</t>
    </r>
    <r>
      <rPr>
        <sz val="10"/>
        <rFont val="WenQuanYi Zen Hei"/>
        <family val="2"/>
      </rPr>
      <t xml:space="preserve">에서 가장 큰 비중을 차지합니다</t>
    </r>
    <r>
      <rPr>
        <sz val="10"/>
        <rFont val="맑은 고딕"/>
        <family val="0"/>
        <charset val="1"/>
      </rPr>
      <t xml:space="preserve">.</t>
    </r>
  </si>
  <si>
    <t xml:space="preserve">스토리지</t>
  </si>
  <si>
    <r>
      <rPr>
        <sz val="10"/>
        <rFont val="맑은 고딕"/>
        <family val="0"/>
        <charset val="1"/>
      </rPr>
      <t xml:space="preserve">8GB eMMC (Samsung)
</t>
    </r>
    <r>
      <rPr>
        <sz val="10"/>
        <rFont val="WenQuanYi Zen Hei"/>
        <family val="2"/>
      </rPr>
      <t xml:space="preserve">예상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2,700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~ 18,900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</si>
  <si>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KLMAG1JETD (Samsung 16GB)
</t>
    </r>
    <r>
      <rPr>
        <sz val="10"/>
        <rFont val="WenQuanYi Zen Hei"/>
        <family val="2"/>
      </rPr>
      <t xml:space="preserve">단가</t>
    </r>
    <r>
      <rPr>
        <sz val="10"/>
        <rFont val="맑은 고딕"/>
        <family val="0"/>
        <charset val="1"/>
      </rPr>
      <t xml:space="preserve">: 30,500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</si>
  <si>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첨부 견적의 </t>
    </r>
    <r>
      <rPr>
        <sz val="10"/>
        <rFont val="맑은 고딕"/>
        <family val="0"/>
        <charset val="1"/>
      </rPr>
      <t xml:space="preserve">eMMC</t>
    </r>
    <r>
      <rPr>
        <sz val="10"/>
        <rFont val="WenQuanYi Zen Hei"/>
        <family val="2"/>
      </rPr>
      <t xml:space="preserve">는 단가가 상당히 높게 잡혀 있습니다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유통망이나 산업용 여부에 따라 편차가 큼</t>
    </r>
    <r>
      <rPr>
        <sz val="10"/>
        <rFont val="맑은 고딕"/>
        <family val="0"/>
        <charset val="1"/>
      </rPr>
      <t xml:space="preserve">).</t>
    </r>
  </si>
  <si>
    <t xml:space="preserve">네트워크</t>
  </si>
  <si>
    <r>
      <rPr>
        <sz val="10"/>
        <rFont val="맑은 고딕"/>
        <family val="0"/>
        <charset val="1"/>
      </rPr>
      <t xml:space="preserve">SKLWB800DCS.2 (WiFi)
</t>
    </r>
    <r>
      <rPr>
        <sz val="10"/>
        <rFont val="WenQuanYi Zen Hei"/>
        <family val="2"/>
      </rPr>
      <t xml:space="preserve">예상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2,700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~ 5,400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</si>
  <si>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AP6212 (WiFi/BLE </t>
    </r>
    <r>
      <rPr>
        <sz val="10"/>
        <rFont val="WenQuanYi Zen Hei"/>
        <family val="2"/>
      </rPr>
      <t xml:space="preserve">콤보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단가</t>
    </r>
    <r>
      <rPr>
        <sz val="10"/>
        <rFont val="맑은 고딕"/>
        <family val="0"/>
        <charset val="1"/>
      </rPr>
      <t xml:space="preserve">: 3,100</t>
    </r>
    <r>
      <rPr>
        <sz val="10"/>
        <rFont val="WenQuanYi Zen Hei"/>
        <family val="2"/>
      </rPr>
      <t xml:space="preserve">원</t>
    </r>
  </si>
  <si>
    <r>
      <rPr>
        <sz val="10"/>
        <rFont val="맑은 고딕"/>
        <family val="0"/>
        <charset val="1"/>
      </rPr>
      <t xml:space="preserve">AP6212</t>
    </r>
    <r>
      <rPr>
        <sz val="10"/>
        <rFont val="WenQuanYi Zen Hei"/>
        <family val="2"/>
      </rPr>
      <t xml:space="preserve">는 보편적으로 널리 쓰이는 가성비 모듈로</t>
    </r>
    <r>
      <rPr>
        <sz val="10"/>
        <rFont val="맑은 고딕"/>
        <family val="0"/>
        <charset val="1"/>
      </rPr>
      <t xml:space="preserve">, Bluetooth</t>
    </r>
    <r>
      <rPr>
        <sz val="10"/>
        <rFont val="WenQuanYi Zen Hei"/>
        <family val="2"/>
      </rPr>
      <t xml:space="preserve">가 추가 지원되는 장점이 있습니다</t>
    </r>
    <r>
      <rPr>
        <sz val="10"/>
        <rFont val="맑은 고딕"/>
        <family val="0"/>
        <charset val="1"/>
      </rPr>
      <t xml:space="preserve">.</t>
    </r>
  </si>
  <si>
    <t xml:space="preserve">카메라</t>
  </si>
  <si>
    <r>
      <rPr>
        <sz val="10"/>
        <rFont val="맑은 고딕"/>
        <family val="0"/>
        <charset val="1"/>
      </rPr>
      <t xml:space="preserve">SC3336 (3MP </t>
    </r>
    <r>
      <rPr>
        <sz val="10"/>
        <rFont val="WenQuanYi Zen Hei"/>
        <family val="2"/>
      </rPr>
      <t xml:space="preserve">모듈</t>
    </r>
    <r>
      <rPr>
        <sz val="10"/>
        <rFont val="맑은 고딕"/>
        <family val="0"/>
        <charset val="1"/>
      </rPr>
      <t xml:space="preserve">)
</t>
    </r>
    <r>
      <rPr>
        <sz val="10"/>
        <rFont val="WenQuanYi Zen Hei"/>
        <family val="2"/>
      </rPr>
      <t xml:space="preserve">예상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9,450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~ 14,100</t>
    </r>
    <r>
      <rPr>
        <sz val="10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</si>
  <si>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내역 없음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별도 추가 필요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</si>
  <si>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PX30 </t>
    </r>
    <r>
      <rPr>
        <sz val="10"/>
        <rFont val="WenQuanYi Zen Hei"/>
        <family val="2"/>
      </rPr>
      <t xml:space="preserve">보드에서 비전 기능을 구현하려면 카메라 모듈 비용이 추가로 발생합니다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</si>
  <si>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합계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</si>
  <si>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약 </t>
    </r>
    <r>
      <rPr>
        <sz val="10"/>
        <rFont val="맑은 고딕"/>
        <family val="0"/>
        <charset val="1"/>
      </rPr>
      <t xml:space="preserve">43,850</t>
    </r>
    <r>
      <rPr>
        <sz val="10"/>
        <rFont val="WenQuanYi Zen Hei"/>
        <family val="2"/>
      </rPr>
      <t xml:space="preserve">원 </t>
    </r>
    <r>
      <rPr>
        <sz val="10"/>
        <rFont val="맑은 고딕"/>
        <family val="0"/>
        <charset val="1"/>
      </rPr>
      <t xml:space="preserve">~ 71,400</t>
    </r>
    <r>
      <rPr>
        <sz val="10"/>
        <rFont val="WenQuanYi Zen Hei"/>
        <family val="2"/>
      </rPr>
      <t xml:space="preserve">원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카메라 포함 풀세트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</si>
  <si>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74,580</t>
    </r>
    <r>
      <rPr>
        <sz val="10"/>
        <rFont val="WenQuanYi Zen Hei"/>
        <family val="2"/>
      </rPr>
      <t xml:space="preserve">원
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카메라 미포함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</si>
  <si>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RV1106 </t>
    </r>
    <r>
      <rPr>
        <sz val="10"/>
        <rFont val="WenQuanYi Zen Hei"/>
        <family val="2"/>
      </rPr>
      <t xml:space="preserve">구성이 최종 원가 면에서 훨씬 유리할 가능성이 높습니다</t>
    </r>
    <r>
      <rPr>
        <sz val="1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</si>
</sst>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-#,##0;\-"/>
    <numFmt numFmtId="166" formatCode="[RED]#,##0;[BLUE]\-#,##0;\-"/>
    <numFmt numFmtId="167" formatCode="#,##0.0#"/>
    <numFmt numFmtId="168" formatCode="0.0&quot;mm&quot;"/>
    <numFmt numFmtId="169" formatCode="0.00&quot;μm&quot;"/>
    <numFmt numFmtId="170" formatCode="0\배"/>
    <numFmt numFmtId="171" formatCode="0&quot;픽셀&quot;"/>
    <numFmt numFmtId="172" formatCode="0.00\배"/>
    <numFmt numFmtId="173" formatCode="\F0.0"/>
    <numFmt numFmtId="174" formatCode="0.00&quot;μm/픽셀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맑은 고딕"/>
      <family val="0"/>
      <charset val="1"/>
    </font>
    <font>
      <b val="true"/>
      <sz val="15"/>
      <color rgb="FF1F3864"/>
      <name val="WenQuanYi Zen Hei"/>
      <family val="2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b val="true"/>
      <sz val="12"/>
      <color rgb="FF1F3864"/>
      <name val="맑은 고딕"/>
      <family val="0"/>
      <charset val="1"/>
    </font>
    <font>
      <b val="true"/>
      <sz val="12"/>
      <color rgb="FF1F3864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sz val="10"/>
      <name val="맑은 고딕"/>
      <family val="0"/>
      <charset val="1"/>
    </font>
    <font>
      <sz val="9"/>
      <color rgb="FF404040"/>
      <name val="맑은 고딕"/>
      <family val="0"/>
      <charset val="1"/>
    </font>
    <font>
      <sz val="9"/>
      <color rgb="FF404040"/>
      <name val="WenQuanYi Zen Hei"/>
      <family val="2"/>
    </font>
    <font>
      <sz val="10"/>
      <name val="WenQuanYi Zen Hei"/>
      <family val="2"/>
    </font>
    <font>
      <b val="true"/>
      <sz val="11"/>
      <color rgb="FF1F3864"/>
      <name val="맑은 고딕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sz val="10"/>
      <color rgb="FF808080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9"/>
      <color rgb="FFC00000"/>
      <name val="WenQuanYi Zen Hei"/>
      <family val="2"/>
    </font>
    <font>
      <b val="true"/>
      <sz val="9"/>
      <color rgb="FFC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DF3FA"/>
        <bgColor rgb="FFDDEBF7"/>
      </patternFill>
    </fill>
    <fill>
      <patternFill patternType="solid">
        <fgColor rgb="FF1F3864"/>
        <bgColor rgb="FF333399"/>
      </patternFill>
    </fill>
    <fill>
      <patternFill patternType="solid">
        <fgColor rgb="FFDDEBF7"/>
        <bgColor rgb="FFEDF3F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4C7DC"/>
      </left>
      <right style="thin">
        <color rgb="FFB4C7DC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  <diagonal/>
    </border>
    <border diagonalUp="false" diagonalDown="false">
      <left style="thin">
        <color rgb="FFB4C7DC"/>
      </left>
      <right/>
      <top style="thin">
        <color rgb="FFB4C7DC"/>
      </top>
      <bottom style="thin">
        <color rgb="FFB4C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3FA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6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4" t="s">
        <v>3</v>
      </c>
      <c r="B5" s="5" t="s">
        <v>4</v>
      </c>
      <c r="C5" s="4" t="s">
        <v>5</v>
      </c>
      <c r="D5" s="5" t="s">
        <v>6</v>
      </c>
      <c r="E5" s="4" t="s">
        <v>5</v>
      </c>
      <c r="F5" s="4" t="s">
        <v>7</v>
      </c>
    </row>
    <row r="6" customFormat="false" ht="51.75" hidden="false" customHeight="true" outlineLevel="0" collapsed="false">
      <c r="A6" s="6" t="s">
        <v>8</v>
      </c>
      <c r="B6" s="7" t="s">
        <v>9</v>
      </c>
      <c r="C6" s="8" t="n">
        <v>24000</v>
      </c>
      <c r="D6" s="9" t="s">
        <v>10</v>
      </c>
      <c r="E6" s="10" t="n">
        <v>6780</v>
      </c>
      <c r="F6" s="11" t="s">
        <v>11</v>
      </c>
    </row>
    <row r="7" customFormat="false" ht="51.75" hidden="false" customHeight="true" outlineLevel="0" collapsed="false">
      <c r="A7" s="12" t="s">
        <v>12</v>
      </c>
      <c r="B7" s="7" t="s">
        <v>13</v>
      </c>
      <c r="C7" s="8" t="n">
        <v>0</v>
      </c>
      <c r="D7" s="9" t="s">
        <v>14</v>
      </c>
      <c r="E7" s="10" t="n">
        <v>34200</v>
      </c>
      <c r="F7" s="11" t="s">
        <v>15</v>
      </c>
    </row>
    <row r="8" customFormat="false" ht="51.75" hidden="false" customHeight="true" outlineLevel="0" collapsed="false">
      <c r="A8" s="12" t="s">
        <v>16</v>
      </c>
      <c r="B8" s="7" t="s">
        <v>17</v>
      </c>
      <c r="C8" s="8" t="n">
        <v>12000</v>
      </c>
      <c r="D8" s="9" t="s">
        <v>18</v>
      </c>
      <c r="E8" s="10" t="n">
        <v>30500</v>
      </c>
      <c r="F8" s="13" t="s">
        <v>19</v>
      </c>
    </row>
    <row r="9" customFormat="false" ht="51.75" hidden="false" customHeight="true" outlineLevel="0" collapsed="false">
      <c r="A9" s="12" t="s">
        <v>20</v>
      </c>
      <c r="B9" s="7" t="s">
        <v>21</v>
      </c>
      <c r="C9" s="8" t="n">
        <v>3000</v>
      </c>
      <c r="D9" s="9" t="s">
        <v>22</v>
      </c>
      <c r="E9" s="10" t="n">
        <v>3100</v>
      </c>
      <c r="F9" s="13" t="s">
        <v>23</v>
      </c>
    </row>
    <row r="10" customFormat="false" ht="25.5" hidden="false" customHeight="true" outlineLevel="0" collapsed="false">
      <c r="A10" s="14" t="s">
        <v>24</v>
      </c>
      <c r="B10" s="15"/>
      <c r="C10" s="16" t="n">
        <f aca="false">SUM(C6:C9)</f>
        <v>39000</v>
      </c>
      <c r="D10" s="15"/>
      <c r="E10" s="16" t="n">
        <f aca="false">SUM(E6:E9)</f>
        <v>74580</v>
      </c>
      <c r="F10" s="17" t="s">
        <v>25</v>
      </c>
    </row>
    <row r="12" customFormat="false" ht="21.75" hidden="false" customHeight="true" outlineLevel="0" collapsed="false">
      <c r="A12" s="3" t="s">
        <v>26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4" t="s">
        <v>27</v>
      </c>
      <c r="B13" s="5" t="s">
        <v>28</v>
      </c>
      <c r="C13" s="5"/>
      <c r="D13" s="5" t="s">
        <v>29</v>
      </c>
      <c r="E13" s="5"/>
      <c r="F13" s="4" t="s">
        <v>7</v>
      </c>
    </row>
    <row r="14" customFormat="false" ht="45.75" hidden="false" customHeight="true" outlineLevel="0" collapsed="false">
      <c r="A14" s="6" t="s">
        <v>30</v>
      </c>
      <c r="B14" s="7" t="s">
        <v>31</v>
      </c>
      <c r="C14" s="7"/>
      <c r="D14" s="9" t="s">
        <v>32</v>
      </c>
      <c r="E14" s="9"/>
      <c r="F14" s="11" t="s">
        <v>33</v>
      </c>
    </row>
    <row r="15" customFormat="false" ht="45.75" hidden="false" customHeight="true" outlineLevel="0" collapsed="false">
      <c r="A15" s="6" t="s">
        <v>34</v>
      </c>
      <c r="B15" s="7" t="s">
        <v>35</v>
      </c>
      <c r="C15" s="7"/>
      <c r="D15" s="18" t="s">
        <v>36</v>
      </c>
      <c r="E15" s="18"/>
      <c r="F15" s="13" t="s">
        <v>37</v>
      </c>
    </row>
    <row r="16" customFormat="false" ht="45.75" hidden="false" customHeight="true" outlineLevel="0" collapsed="false">
      <c r="A16" s="6" t="s">
        <v>38</v>
      </c>
      <c r="B16" s="19" t="s">
        <v>39</v>
      </c>
      <c r="C16" s="19"/>
      <c r="D16" s="18" t="s">
        <v>40</v>
      </c>
      <c r="E16" s="18"/>
      <c r="F16" s="11" t="s">
        <v>41</v>
      </c>
    </row>
    <row r="17" customFormat="false" ht="45.75" hidden="false" customHeight="true" outlineLevel="0" collapsed="false">
      <c r="A17" s="6" t="s">
        <v>42</v>
      </c>
      <c r="B17" s="7" t="s">
        <v>43</v>
      </c>
      <c r="C17" s="7"/>
      <c r="D17" s="9" t="s">
        <v>44</v>
      </c>
      <c r="E17" s="9"/>
      <c r="F17" s="11" t="s">
        <v>45</v>
      </c>
    </row>
    <row r="18" customFormat="false" ht="45.75" hidden="false" customHeight="true" outlineLevel="0" collapsed="false">
      <c r="A18" s="12" t="s">
        <v>46</v>
      </c>
      <c r="B18" s="7" t="s">
        <v>47</v>
      </c>
      <c r="C18" s="7"/>
      <c r="D18" s="18" t="s">
        <v>48</v>
      </c>
      <c r="E18" s="18"/>
      <c r="F18" s="13" t="s">
        <v>49</v>
      </c>
    </row>
    <row r="19" customFormat="false" ht="45.75" hidden="false" customHeight="true" outlineLevel="0" collapsed="false">
      <c r="A19" s="12" t="s">
        <v>50</v>
      </c>
      <c r="B19" s="7" t="s">
        <v>51</v>
      </c>
      <c r="C19" s="7"/>
      <c r="D19" s="9" t="s">
        <v>52</v>
      </c>
      <c r="E19" s="9"/>
      <c r="F19" s="13" t="s">
        <v>53</v>
      </c>
    </row>
    <row r="20" customFormat="false" ht="45.75" hidden="false" customHeight="true" outlineLevel="0" collapsed="false">
      <c r="A20" s="12" t="s">
        <v>54</v>
      </c>
      <c r="B20" s="7" t="s">
        <v>55</v>
      </c>
      <c r="C20" s="7"/>
      <c r="D20" s="9" t="s">
        <v>56</v>
      </c>
      <c r="E20" s="9"/>
      <c r="F20" s="13" t="s">
        <v>57</v>
      </c>
    </row>
    <row r="21" customFormat="false" ht="45.75" hidden="false" customHeight="true" outlineLevel="0" collapsed="false">
      <c r="A21" s="6" t="s">
        <v>58</v>
      </c>
      <c r="B21" s="7" t="s">
        <v>59</v>
      </c>
      <c r="C21" s="7"/>
      <c r="D21" s="18" t="s">
        <v>60</v>
      </c>
      <c r="E21" s="18"/>
      <c r="F21" s="11" t="s">
        <v>61</v>
      </c>
    </row>
    <row r="22" customFormat="false" ht="45.75" hidden="false" customHeight="true" outlineLevel="0" collapsed="false">
      <c r="A22" s="6" t="s">
        <v>62</v>
      </c>
      <c r="B22" s="7" t="s">
        <v>63</v>
      </c>
      <c r="C22" s="7"/>
      <c r="D22" s="18" t="s">
        <v>36</v>
      </c>
      <c r="E22" s="18"/>
      <c r="F22" s="13" t="s">
        <v>64</v>
      </c>
    </row>
    <row r="23" customFormat="false" ht="45.75" hidden="false" customHeight="true" outlineLevel="0" collapsed="false">
      <c r="A23" s="6" t="s">
        <v>65</v>
      </c>
      <c r="B23" s="19" t="s">
        <v>66</v>
      </c>
      <c r="C23" s="19"/>
      <c r="D23" s="18" t="s">
        <v>67</v>
      </c>
      <c r="E23" s="18"/>
      <c r="F23" s="13" t="s">
        <v>68</v>
      </c>
    </row>
    <row r="25" customFormat="false" ht="21.75" hidden="false" customHeight="true" outlineLevel="0" collapsed="false">
      <c r="A25" s="3" t="s">
        <v>69</v>
      </c>
      <c r="B25" s="3"/>
      <c r="C25" s="3"/>
      <c r="D25" s="3"/>
      <c r="E25" s="3"/>
      <c r="F25" s="3"/>
    </row>
    <row r="26" customFormat="false" ht="19.5" hidden="false" customHeight="true" outlineLevel="0" collapsed="false">
      <c r="A26" s="20" t="s">
        <v>27</v>
      </c>
      <c r="B26" s="20"/>
      <c r="C26" s="20" t="s">
        <v>70</v>
      </c>
      <c r="D26" s="20" t="s">
        <v>7</v>
      </c>
      <c r="E26" s="20"/>
      <c r="F26" s="20"/>
    </row>
    <row r="27" customFormat="false" ht="21.75" hidden="false" customHeight="true" outlineLevel="0" collapsed="false">
      <c r="A27" s="21" t="s">
        <v>71</v>
      </c>
      <c r="B27" s="21"/>
      <c r="C27" s="22" t="n">
        <f aca="false">C10</f>
        <v>39000</v>
      </c>
      <c r="D27" s="23" t="s">
        <v>72</v>
      </c>
      <c r="E27" s="23"/>
      <c r="F27" s="23"/>
    </row>
    <row r="28" customFormat="false" ht="21.75" hidden="false" customHeight="true" outlineLevel="0" collapsed="false">
      <c r="A28" s="21" t="s">
        <v>73</v>
      </c>
      <c r="B28" s="21"/>
      <c r="C28" s="22" t="n">
        <f aca="false">E10</f>
        <v>74580</v>
      </c>
      <c r="D28" s="23" t="s">
        <v>72</v>
      </c>
      <c r="E28" s="23"/>
      <c r="F28" s="23"/>
    </row>
    <row r="29" customFormat="false" ht="21.75" hidden="false" customHeight="true" outlineLevel="0" collapsed="false">
      <c r="A29" s="24" t="s">
        <v>74</v>
      </c>
      <c r="B29" s="24"/>
      <c r="C29" s="25" t="n">
        <f aca="false">E10-C10</f>
        <v>35580</v>
      </c>
      <c r="D29" s="26" t="s">
        <v>75</v>
      </c>
      <c r="E29" s="26"/>
      <c r="F29" s="26"/>
    </row>
    <row r="31" customFormat="false" ht="57.75" hidden="false" customHeight="true" outlineLevel="0" collapsed="false">
      <c r="A31" s="27" t="s">
        <v>76</v>
      </c>
      <c r="B31" s="27"/>
      <c r="C31" s="27"/>
      <c r="D31" s="27"/>
      <c r="E31" s="27"/>
      <c r="F31" s="27"/>
    </row>
  </sheetData>
  <mergeCells count="36">
    <mergeCell ref="A1:F1"/>
    <mergeCell ref="A2:F2"/>
    <mergeCell ref="A4:F4"/>
    <mergeCell ref="A12:F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A25:F25"/>
    <mergeCell ref="A26:B26"/>
    <mergeCell ref="D26:F26"/>
    <mergeCell ref="A27:B27"/>
    <mergeCell ref="D27:F27"/>
    <mergeCell ref="A28:B28"/>
    <mergeCell ref="D28:F28"/>
    <mergeCell ref="A29:B29"/>
    <mergeCell ref="D29:F29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5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46"/>
  </cols>
  <sheetData>
    <row r="1" customFormat="false" ht="30" hidden="false" customHeight="true" outlineLevel="0" collapsed="false">
      <c r="A1" s="28" t="s">
        <v>77</v>
      </c>
      <c r="B1" s="28"/>
      <c r="C1" s="28"/>
      <c r="D1" s="28"/>
      <c r="E1" s="28"/>
      <c r="F1" s="28"/>
      <c r="G1" s="28"/>
    </row>
    <row r="2" customFormat="false" ht="15.75" hidden="false" customHeight="true" outlineLevel="0" collapsed="false">
      <c r="A2" s="2" t="s">
        <v>78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79</v>
      </c>
      <c r="B4" s="3"/>
      <c r="C4" s="3"/>
      <c r="D4" s="3"/>
      <c r="E4" s="3"/>
      <c r="F4" s="3"/>
      <c r="G4" s="3"/>
    </row>
    <row r="5" customFormat="false" ht="18" hidden="false" customHeight="true" outlineLevel="0" collapsed="false">
      <c r="A5" s="29" t="s">
        <v>80</v>
      </c>
      <c r="B5" s="29"/>
      <c r="C5" s="30" t="n">
        <v>2304</v>
      </c>
      <c r="D5" s="31" t="s">
        <v>81</v>
      </c>
      <c r="E5" s="11" t="s">
        <v>82</v>
      </c>
      <c r="F5" s="11"/>
      <c r="G5" s="11"/>
    </row>
    <row r="6" customFormat="false" ht="18" hidden="false" customHeight="true" outlineLevel="0" collapsed="false">
      <c r="A6" s="29" t="s">
        <v>83</v>
      </c>
      <c r="B6" s="29"/>
      <c r="C6" s="30" t="n">
        <v>5.1</v>
      </c>
      <c r="D6" s="31" t="s">
        <v>84</v>
      </c>
      <c r="E6" s="11" t="s">
        <v>85</v>
      </c>
      <c r="F6" s="11"/>
      <c r="G6" s="11"/>
    </row>
    <row r="7" customFormat="false" ht="18" hidden="false" customHeight="true" outlineLevel="0" collapsed="false">
      <c r="A7" s="29" t="s">
        <v>86</v>
      </c>
      <c r="B7" s="29"/>
      <c r="C7" s="30" t="n">
        <v>7.4</v>
      </c>
      <c r="D7" s="31" t="s">
        <v>84</v>
      </c>
      <c r="E7" s="11" t="s">
        <v>87</v>
      </c>
      <c r="F7" s="11"/>
      <c r="G7" s="11"/>
    </row>
    <row r="8" customFormat="false" ht="18" hidden="false" customHeight="true" outlineLevel="0" collapsed="false">
      <c r="A8" s="29" t="s">
        <v>88</v>
      </c>
      <c r="B8" s="29"/>
      <c r="C8" s="30" t="n">
        <v>2</v>
      </c>
      <c r="D8" s="31"/>
      <c r="E8" s="11" t="s">
        <v>89</v>
      </c>
      <c r="F8" s="11"/>
      <c r="G8" s="11"/>
    </row>
    <row r="9" customFormat="false" ht="18" hidden="false" customHeight="true" outlineLevel="0" collapsed="false">
      <c r="A9" s="29" t="s">
        <v>90</v>
      </c>
      <c r="B9" s="29"/>
      <c r="C9" s="30" t="n">
        <v>0.55</v>
      </c>
      <c r="D9" s="31" t="s">
        <v>91</v>
      </c>
      <c r="E9" s="13" t="s">
        <v>92</v>
      </c>
      <c r="F9" s="13"/>
      <c r="G9" s="13"/>
    </row>
    <row r="10" customFormat="false" ht="18" hidden="false" customHeight="true" outlineLevel="0" collapsed="false">
      <c r="A10" s="32" t="s">
        <v>93</v>
      </c>
      <c r="B10" s="32"/>
      <c r="C10" s="30" t="n">
        <v>132</v>
      </c>
      <c r="D10" s="31" t="s">
        <v>84</v>
      </c>
      <c r="E10" s="11" t="s">
        <v>94</v>
      </c>
      <c r="F10" s="11"/>
      <c r="G10" s="11"/>
    </row>
    <row r="11" customFormat="false" ht="18" hidden="false" customHeight="true" outlineLevel="0" collapsed="false">
      <c r="A11" s="32" t="s">
        <v>95</v>
      </c>
      <c r="B11" s="32"/>
      <c r="C11" s="30" t="n">
        <v>531</v>
      </c>
      <c r="D11" s="31" t="s">
        <v>84</v>
      </c>
      <c r="E11" s="11" t="s">
        <v>96</v>
      </c>
      <c r="F11" s="11"/>
      <c r="G11" s="11"/>
    </row>
    <row r="13" customFormat="false" ht="21.75" hidden="false" customHeight="true" outlineLevel="0" collapsed="false">
      <c r="A13" s="3" t="s">
        <v>97</v>
      </c>
      <c r="B13" s="3"/>
      <c r="C13" s="3"/>
      <c r="D13" s="3"/>
      <c r="E13" s="3"/>
      <c r="F13" s="3"/>
      <c r="G13" s="3"/>
    </row>
    <row r="14" customFormat="false" ht="25.5" hidden="false" customHeight="true" outlineLevel="0" collapsed="false">
      <c r="A14" s="4" t="s">
        <v>27</v>
      </c>
      <c r="B14" s="5" t="s">
        <v>98</v>
      </c>
      <c r="C14" s="5"/>
      <c r="D14" s="5" t="s">
        <v>99</v>
      </c>
      <c r="E14" s="5"/>
      <c r="F14" s="4" t="s">
        <v>7</v>
      </c>
      <c r="G14" s="4"/>
    </row>
    <row r="15" customFormat="false" ht="39.75" hidden="false" customHeight="true" outlineLevel="0" collapsed="false">
      <c r="A15" s="6" t="s">
        <v>100</v>
      </c>
      <c r="B15" s="7" t="s">
        <v>101</v>
      </c>
      <c r="C15" s="7"/>
      <c r="D15" s="9" t="s">
        <v>102</v>
      </c>
      <c r="E15" s="9"/>
      <c r="F15" s="11" t="s">
        <v>103</v>
      </c>
      <c r="G15" s="11"/>
    </row>
    <row r="16" customFormat="false" ht="39.75" hidden="false" customHeight="true" outlineLevel="0" collapsed="false">
      <c r="A16" s="6" t="s">
        <v>104</v>
      </c>
      <c r="B16" s="7" t="s">
        <v>105</v>
      </c>
      <c r="C16" s="7"/>
      <c r="D16" s="9" t="s">
        <v>106</v>
      </c>
      <c r="E16" s="9"/>
      <c r="F16" s="13" t="s">
        <v>107</v>
      </c>
      <c r="G16" s="13"/>
    </row>
    <row r="17" customFormat="false" ht="39.75" hidden="false" customHeight="true" outlineLevel="0" collapsed="false">
      <c r="A17" s="6" t="s">
        <v>108</v>
      </c>
      <c r="B17" s="7" t="s">
        <v>109</v>
      </c>
      <c r="C17" s="7"/>
      <c r="D17" s="18" t="s">
        <v>110</v>
      </c>
      <c r="E17" s="18"/>
      <c r="F17" s="13" t="s">
        <v>111</v>
      </c>
      <c r="G17" s="13"/>
    </row>
    <row r="18" customFormat="false" ht="39.75" hidden="false" customHeight="true" outlineLevel="0" collapsed="false">
      <c r="A18" s="6" t="s">
        <v>112</v>
      </c>
      <c r="B18" s="19" t="s">
        <v>113</v>
      </c>
      <c r="C18" s="19"/>
      <c r="D18" s="9" t="s">
        <v>114</v>
      </c>
      <c r="E18" s="9"/>
      <c r="F18" s="13" t="s">
        <v>115</v>
      </c>
      <c r="G18" s="13"/>
    </row>
    <row r="19" customFormat="false" ht="39.75" hidden="false" customHeight="true" outlineLevel="0" collapsed="false">
      <c r="A19" s="6" t="s">
        <v>116</v>
      </c>
      <c r="B19" s="7" t="s">
        <v>117</v>
      </c>
      <c r="C19" s="7"/>
      <c r="D19" s="18" t="s">
        <v>118</v>
      </c>
      <c r="E19" s="18"/>
      <c r="F19" s="11" t="s">
        <v>119</v>
      </c>
      <c r="G19" s="11"/>
    </row>
    <row r="20" customFormat="false" ht="39.75" hidden="false" customHeight="true" outlineLevel="0" collapsed="false">
      <c r="A20" s="6" t="s">
        <v>120</v>
      </c>
      <c r="B20" s="7" t="s">
        <v>121</v>
      </c>
      <c r="C20" s="7"/>
      <c r="D20" s="18" t="s">
        <v>122</v>
      </c>
      <c r="E20" s="18"/>
      <c r="F20" s="13" t="s">
        <v>123</v>
      </c>
      <c r="G20" s="13"/>
    </row>
    <row r="21" customFormat="false" ht="39.75" hidden="false" customHeight="true" outlineLevel="0" collapsed="false">
      <c r="A21" s="6" t="s">
        <v>124</v>
      </c>
      <c r="B21" s="7" t="s">
        <v>125</v>
      </c>
      <c r="C21" s="7"/>
      <c r="D21" s="18" t="s">
        <v>126</v>
      </c>
      <c r="E21" s="18"/>
      <c r="F21" s="11" t="s">
        <v>127</v>
      </c>
      <c r="G21" s="11"/>
    </row>
    <row r="23" customFormat="false" ht="21.75" hidden="false" customHeight="true" outlineLevel="0" collapsed="false">
      <c r="A23" s="3" t="s">
        <v>128</v>
      </c>
      <c r="B23" s="3"/>
      <c r="C23" s="3"/>
      <c r="D23" s="3"/>
      <c r="E23" s="3"/>
      <c r="F23" s="3"/>
      <c r="G23" s="3"/>
    </row>
    <row r="24" customFormat="false" ht="33.75" hidden="false" customHeight="true" outlineLevel="0" collapsed="false">
      <c r="A24" s="4" t="s">
        <v>129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134</v>
      </c>
      <c r="G24" s="4" t="s">
        <v>7</v>
      </c>
    </row>
    <row r="25" customFormat="false" ht="19.5" hidden="false" customHeight="true" outlineLevel="0" collapsed="false">
      <c r="A25" s="33" t="s">
        <v>135</v>
      </c>
      <c r="B25" s="34" t="s">
        <v>136</v>
      </c>
      <c r="C25" s="34" t="s">
        <v>137</v>
      </c>
      <c r="D25" s="34" t="s">
        <v>138</v>
      </c>
      <c r="E25" s="34" t="s">
        <v>139</v>
      </c>
      <c r="F25" s="35" t="s">
        <v>140</v>
      </c>
      <c r="G25" s="13" t="s">
        <v>141</v>
      </c>
    </row>
    <row r="26" customFormat="false" ht="19.5" hidden="false" customHeight="true" outlineLevel="0" collapsed="false">
      <c r="A26" s="33" t="s">
        <v>142</v>
      </c>
      <c r="B26" s="34" t="s">
        <v>143</v>
      </c>
      <c r="C26" s="34" t="s">
        <v>144</v>
      </c>
      <c r="D26" s="34" t="s">
        <v>145</v>
      </c>
      <c r="E26" s="34" t="s">
        <v>146</v>
      </c>
      <c r="F26" s="36" t="s">
        <v>147</v>
      </c>
      <c r="G26" s="13" t="s">
        <v>148</v>
      </c>
    </row>
    <row r="27" customFormat="false" ht="19.5" hidden="false" customHeight="true" outlineLevel="0" collapsed="false">
      <c r="A27" s="33" t="s">
        <v>149</v>
      </c>
      <c r="B27" s="34" t="s">
        <v>150</v>
      </c>
      <c r="C27" s="34" t="s">
        <v>151</v>
      </c>
      <c r="D27" s="34" t="s">
        <v>152</v>
      </c>
      <c r="E27" s="34" t="s">
        <v>153</v>
      </c>
      <c r="F27" s="36" t="s">
        <v>154</v>
      </c>
      <c r="G27" s="11"/>
    </row>
    <row r="28" customFormat="false" ht="19.5" hidden="false" customHeight="true" outlineLevel="0" collapsed="false">
      <c r="A28" s="37" t="s">
        <v>155</v>
      </c>
      <c r="B28" s="38" t="s">
        <v>156</v>
      </c>
      <c r="C28" s="38" t="s">
        <v>157</v>
      </c>
      <c r="D28" s="38" t="s">
        <v>158</v>
      </c>
      <c r="E28" s="38" t="s">
        <v>159</v>
      </c>
      <c r="F28" s="39" t="s">
        <v>160</v>
      </c>
      <c r="G28" s="11" t="s">
        <v>161</v>
      </c>
    </row>
    <row r="29" customFormat="false" ht="19.5" hidden="false" customHeight="true" outlineLevel="0" collapsed="false">
      <c r="A29" s="37" t="s">
        <v>159</v>
      </c>
      <c r="B29" s="38" t="s">
        <v>162</v>
      </c>
      <c r="C29" s="38" t="s">
        <v>163</v>
      </c>
      <c r="D29" s="38" t="s">
        <v>164</v>
      </c>
      <c r="E29" s="38" t="s">
        <v>165</v>
      </c>
      <c r="F29" s="39" t="s">
        <v>160</v>
      </c>
      <c r="G29" s="13" t="s">
        <v>166</v>
      </c>
    </row>
    <row r="30" customFormat="false" ht="19.5" hidden="false" customHeight="true" outlineLevel="0" collapsed="false">
      <c r="A30" s="33" t="s">
        <v>167</v>
      </c>
      <c r="B30" s="34" t="s">
        <v>168</v>
      </c>
      <c r="C30" s="34" t="s">
        <v>169</v>
      </c>
      <c r="D30" s="34" t="s">
        <v>170</v>
      </c>
      <c r="E30" s="34" t="s">
        <v>171</v>
      </c>
      <c r="F30" s="36" t="s">
        <v>154</v>
      </c>
      <c r="G30" s="13" t="s">
        <v>172</v>
      </c>
    </row>
    <row r="31" customFormat="false" ht="30" hidden="false" customHeight="true" outlineLevel="0" collapsed="false">
      <c r="A31" s="40" t="s">
        <v>173</v>
      </c>
      <c r="B31" s="40"/>
      <c r="C31" s="40"/>
      <c r="D31" s="40"/>
      <c r="E31" s="40"/>
      <c r="F31" s="40"/>
      <c r="G31" s="40"/>
    </row>
    <row r="33" customFormat="false" ht="21.75" hidden="false" customHeight="true" outlineLevel="0" collapsed="false">
      <c r="A33" s="3" t="s">
        <v>174</v>
      </c>
      <c r="B33" s="3"/>
      <c r="C33" s="3"/>
      <c r="D33" s="3"/>
      <c r="E33" s="3"/>
      <c r="F33" s="3"/>
      <c r="G33" s="3"/>
    </row>
    <row r="34" customFormat="false" ht="33.75" hidden="false" customHeight="true" outlineLevel="0" collapsed="false">
      <c r="A34" s="4" t="s">
        <v>175</v>
      </c>
      <c r="B34" s="4" t="s">
        <v>176</v>
      </c>
      <c r="C34" s="5" t="s">
        <v>177</v>
      </c>
      <c r="D34" s="5" t="s">
        <v>178</v>
      </c>
      <c r="E34" s="4" t="s">
        <v>179</v>
      </c>
      <c r="F34" s="4" t="s">
        <v>180</v>
      </c>
      <c r="G34" s="4" t="s">
        <v>181</v>
      </c>
    </row>
    <row r="35" customFormat="false" ht="19.5" hidden="false" customHeight="true" outlineLevel="0" collapsed="false">
      <c r="A35" s="41" t="n">
        <v>8</v>
      </c>
      <c r="B35" s="42" t="n">
        <f aca="false">A35*1000/$C$5</f>
        <v>3.47222222222222</v>
      </c>
      <c r="C35" s="43" t="n">
        <f aca="false">$C$10/A35</f>
        <v>16.5</v>
      </c>
      <c r="D35" s="43" t="n">
        <f aca="false">$C$11/A35</f>
        <v>66.375</v>
      </c>
      <c r="E35" s="34" t="s">
        <v>182</v>
      </c>
      <c r="F35" s="44" t="n">
        <f aca="false">70/(A35*1000/$C$5)</f>
        <v>20.16</v>
      </c>
      <c r="G35" s="13" t="s">
        <v>183</v>
      </c>
    </row>
    <row r="36" customFormat="false" ht="19.5" hidden="false" customHeight="true" outlineLevel="0" collapsed="false">
      <c r="A36" s="41" t="n">
        <v>5</v>
      </c>
      <c r="B36" s="42" t="n">
        <f aca="false">A36*1000/$C$5</f>
        <v>2.17013888888889</v>
      </c>
      <c r="C36" s="43" t="n">
        <f aca="false">$C$10/A36</f>
        <v>26.4</v>
      </c>
      <c r="D36" s="43" t="n">
        <f aca="false">$C$11/A36</f>
        <v>106.2</v>
      </c>
      <c r="E36" s="36" t="s">
        <v>184</v>
      </c>
      <c r="F36" s="44" t="n">
        <f aca="false">70/(A36*1000/$C$5)</f>
        <v>32.256</v>
      </c>
      <c r="G36" s="13" t="s">
        <v>185</v>
      </c>
    </row>
    <row r="37" customFormat="false" ht="19.5" hidden="false" customHeight="true" outlineLevel="0" collapsed="false">
      <c r="A37" s="45" t="n">
        <v>4</v>
      </c>
      <c r="B37" s="46" t="n">
        <f aca="false">A37*1000/$C$5</f>
        <v>1.73611111111111</v>
      </c>
      <c r="C37" s="47" t="n">
        <f aca="false">$C$10/A37</f>
        <v>33</v>
      </c>
      <c r="D37" s="47" t="n">
        <f aca="false">$C$11/A37</f>
        <v>132.75</v>
      </c>
      <c r="E37" s="48" t="s">
        <v>186</v>
      </c>
      <c r="F37" s="49" t="n">
        <f aca="false">70/(A37*1000/$C$5)</f>
        <v>40.32</v>
      </c>
      <c r="G37" s="50" t="s">
        <v>187</v>
      </c>
    </row>
    <row r="38" customFormat="false" ht="19.5" hidden="false" customHeight="true" outlineLevel="0" collapsed="false">
      <c r="A38" s="41" t="n">
        <v>3</v>
      </c>
      <c r="B38" s="42" t="n">
        <f aca="false">A38*1000/$C$5</f>
        <v>1.30208333333333</v>
      </c>
      <c r="C38" s="43" t="n">
        <f aca="false">$C$10/A38</f>
        <v>44</v>
      </c>
      <c r="D38" s="43" t="n">
        <f aca="false">$C$11/A38</f>
        <v>177</v>
      </c>
      <c r="E38" s="36" t="s">
        <v>188</v>
      </c>
      <c r="F38" s="44" t="n">
        <f aca="false">70/(A38*1000/$C$5)</f>
        <v>53.76</v>
      </c>
      <c r="G38" s="13" t="s">
        <v>189</v>
      </c>
    </row>
    <row r="39" customFormat="false" ht="19.5" hidden="false" customHeight="true" outlineLevel="0" collapsed="false">
      <c r="A39" s="41" t="n">
        <v>2.5</v>
      </c>
      <c r="B39" s="42" t="n">
        <f aca="false">A39*1000/$C$5</f>
        <v>1.08506944444444</v>
      </c>
      <c r="C39" s="43" t="n">
        <f aca="false">$C$10/A39</f>
        <v>52.8</v>
      </c>
      <c r="D39" s="43" t="n">
        <f aca="false">$C$11/A39</f>
        <v>212.4</v>
      </c>
      <c r="E39" s="36" t="s">
        <v>190</v>
      </c>
      <c r="F39" s="44" t="n">
        <f aca="false">70/(A39*1000/$C$5)</f>
        <v>64.512</v>
      </c>
      <c r="G39" s="13" t="s">
        <v>191</v>
      </c>
    </row>
    <row r="40" customFormat="false" ht="19.5" hidden="false" customHeight="true" outlineLevel="0" collapsed="false">
      <c r="A40" s="41" t="n">
        <v>1.5</v>
      </c>
      <c r="B40" s="42" t="n">
        <f aca="false">A40*1000/$C$5</f>
        <v>0.651041666666667</v>
      </c>
      <c r="C40" s="43" t="n">
        <f aca="false">$C$10/A40</f>
        <v>88</v>
      </c>
      <c r="D40" s="43" t="n">
        <f aca="false">$C$11/A40</f>
        <v>354</v>
      </c>
      <c r="E40" s="36" t="s">
        <v>192</v>
      </c>
      <c r="F40" s="44" t="n">
        <f aca="false">70/(A40*1000/$C$5)</f>
        <v>107.52</v>
      </c>
      <c r="G40" s="13" t="s">
        <v>193</v>
      </c>
    </row>
    <row r="41" customFormat="false" ht="30" hidden="false" customHeight="true" outlineLevel="0" collapsed="false">
      <c r="A41" s="40" t="s">
        <v>194</v>
      </c>
      <c r="B41" s="40"/>
      <c r="C41" s="40"/>
      <c r="D41" s="40"/>
      <c r="E41" s="40"/>
      <c r="F41" s="40"/>
      <c r="G41" s="40"/>
    </row>
    <row r="43" customFormat="false" ht="21.75" hidden="false" customHeight="true" outlineLevel="0" collapsed="false">
      <c r="A43" s="3" t="s">
        <v>195</v>
      </c>
      <c r="B43" s="3"/>
      <c r="C43" s="3"/>
      <c r="D43" s="3"/>
      <c r="E43" s="3"/>
      <c r="F43" s="3"/>
      <c r="G43" s="3"/>
    </row>
    <row r="44" customFormat="false" ht="25.5" hidden="false" customHeight="true" outlineLevel="0" collapsed="false">
      <c r="A44" s="4" t="s">
        <v>27</v>
      </c>
      <c r="B44" s="5" t="s">
        <v>196</v>
      </c>
      <c r="C44" s="5"/>
      <c r="D44" s="5" t="s">
        <v>99</v>
      </c>
      <c r="E44" s="5"/>
      <c r="F44" s="4" t="s">
        <v>7</v>
      </c>
      <c r="G44" s="4"/>
    </row>
    <row r="45" customFormat="false" ht="33.75" hidden="false" customHeight="true" outlineLevel="0" collapsed="false">
      <c r="A45" s="6" t="s">
        <v>197</v>
      </c>
      <c r="B45" s="51" t="n">
        <f aca="false">($C$6/4)</f>
        <v>1.275</v>
      </c>
      <c r="C45" s="51"/>
      <c r="D45" s="52" t="n">
        <f aca="false">($C$7/4)</f>
        <v>1.85</v>
      </c>
      <c r="E45" s="52"/>
      <c r="F45" s="13" t="s">
        <v>198</v>
      </c>
      <c r="G45" s="13"/>
    </row>
    <row r="46" customFormat="false" ht="33.75" hidden="false" customHeight="true" outlineLevel="0" collapsed="false">
      <c r="A46" s="6" t="s">
        <v>199</v>
      </c>
      <c r="B46" s="53" t="n">
        <f aca="false">($C$8*(1+($C$6/4)))</f>
        <v>4.55</v>
      </c>
      <c r="C46" s="53"/>
      <c r="D46" s="54" t="n">
        <f aca="false">($C$8*(1+($C$7/4)))</f>
        <v>5.7</v>
      </c>
      <c r="E46" s="54"/>
      <c r="F46" s="13" t="s">
        <v>200</v>
      </c>
      <c r="G46" s="13"/>
    </row>
    <row r="47" customFormat="false" ht="33.75" hidden="false" customHeight="true" outlineLevel="0" collapsed="false">
      <c r="A47" s="6" t="s">
        <v>201</v>
      </c>
      <c r="B47" s="55" t="n">
        <f aca="false">(1.22*$C$9/(($C$6/4)/(2*($C$8*(1+($C$6/4))))))</f>
        <v>4.78909803921569</v>
      </c>
      <c r="C47" s="55"/>
      <c r="D47" s="56" t="n">
        <f aca="false">(1.22*$C$9/(($C$7/4)/(2*($C$8*(1+($C$7/4))))))</f>
        <v>4.13481081081081</v>
      </c>
      <c r="E47" s="56"/>
      <c r="F47" s="13" t="s">
        <v>202</v>
      </c>
      <c r="G47" s="13"/>
    </row>
    <row r="48" customFormat="false" ht="33.75" hidden="false" customHeight="true" outlineLevel="0" collapsed="false">
      <c r="A48" s="6" t="s">
        <v>203</v>
      </c>
      <c r="B48" s="57" t="n">
        <f aca="false">4*1000/$C$5</f>
        <v>1.73611111111111</v>
      </c>
      <c r="C48" s="57"/>
      <c r="D48" s="58" t="n">
        <f aca="false">4*1000/9248</f>
        <v>0.432525951557093</v>
      </c>
      <c r="E48" s="58"/>
      <c r="F48" s="11" t="s">
        <v>204</v>
      </c>
      <c r="G48" s="11"/>
    </row>
    <row r="49" customFormat="false" ht="25.5" hidden="false" customHeight="true" outlineLevel="0" collapsed="false">
      <c r="A49" s="6" t="s">
        <v>205</v>
      </c>
      <c r="B49" s="59" t="s">
        <v>206</v>
      </c>
      <c r="C49" s="59"/>
      <c r="D49" s="59" t="s">
        <v>207</v>
      </c>
      <c r="E49" s="59"/>
      <c r="F49" s="13" t="s">
        <v>208</v>
      </c>
      <c r="G49" s="13"/>
    </row>
    <row r="51" customFormat="false" ht="21.75" hidden="false" customHeight="true" outlineLevel="0" collapsed="false">
      <c r="A51" s="3" t="s">
        <v>209</v>
      </c>
      <c r="B51" s="3"/>
      <c r="C51" s="3"/>
      <c r="D51" s="3"/>
      <c r="E51" s="3"/>
      <c r="F51" s="3"/>
      <c r="G51" s="3"/>
    </row>
    <row r="52" customFormat="false" ht="25.5" hidden="false" customHeight="true" outlineLevel="0" collapsed="false">
      <c r="A52" s="4" t="s">
        <v>210</v>
      </c>
      <c r="B52" s="4"/>
      <c r="C52" s="4" t="s">
        <v>211</v>
      </c>
      <c r="D52" s="4" t="s">
        <v>212</v>
      </c>
      <c r="E52" s="4"/>
      <c r="F52" s="4"/>
      <c r="G52" s="4"/>
    </row>
    <row r="53" customFormat="false" ht="21.75" hidden="false" customHeight="true" outlineLevel="0" collapsed="false">
      <c r="A53" s="29" t="s">
        <v>213</v>
      </c>
      <c r="B53" s="29"/>
      <c r="C53" s="60" t="s">
        <v>214</v>
      </c>
      <c r="D53" s="13" t="s">
        <v>215</v>
      </c>
      <c r="E53" s="13"/>
      <c r="F53" s="13"/>
      <c r="G53" s="13"/>
    </row>
    <row r="54" customFormat="false" ht="21.75" hidden="false" customHeight="true" outlineLevel="0" collapsed="false">
      <c r="A54" s="29" t="s">
        <v>216</v>
      </c>
      <c r="B54" s="29"/>
      <c r="C54" s="60" t="s">
        <v>217</v>
      </c>
      <c r="D54" s="11" t="s">
        <v>218</v>
      </c>
      <c r="E54" s="11"/>
      <c r="F54" s="11"/>
      <c r="G54" s="11"/>
    </row>
    <row r="55" customFormat="false" ht="21.75" hidden="false" customHeight="true" outlineLevel="0" collapsed="false">
      <c r="A55" s="32" t="s">
        <v>219</v>
      </c>
      <c r="B55" s="32"/>
      <c r="C55" s="60" t="s">
        <v>220</v>
      </c>
      <c r="D55" s="11" t="s">
        <v>221</v>
      </c>
      <c r="E55" s="11"/>
      <c r="F55" s="11"/>
      <c r="G55" s="11"/>
    </row>
    <row r="56" customFormat="false" ht="21.75" hidden="false" customHeight="true" outlineLevel="0" collapsed="false">
      <c r="A56" s="29" t="s">
        <v>222</v>
      </c>
      <c r="B56" s="29"/>
      <c r="C56" s="61" t="s">
        <v>223</v>
      </c>
      <c r="D56" s="11" t="s">
        <v>224</v>
      </c>
      <c r="E56" s="11"/>
      <c r="F56" s="11"/>
      <c r="G56" s="11"/>
    </row>
    <row r="58" customFormat="false" ht="61.5" hidden="false" customHeight="true" outlineLevel="0" collapsed="false">
      <c r="A58" s="27" t="s">
        <v>225</v>
      </c>
      <c r="B58" s="27"/>
      <c r="C58" s="27"/>
      <c r="D58" s="27"/>
      <c r="E58" s="27"/>
      <c r="F58" s="27"/>
      <c r="G58" s="27"/>
    </row>
  </sheetData>
  <mergeCells count="77">
    <mergeCell ref="A1:G1"/>
    <mergeCell ref="A2:G2"/>
    <mergeCell ref="A4:G4"/>
    <mergeCell ref="A5:B5"/>
    <mergeCell ref="E5:G5"/>
    <mergeCell ref="A6:B6"/>
    <mergeCell ref="E6:G6"/>
    <mergeCell ref="A7:B7"/>
    <mergeCell ref="E7:G7"/>
    <mergeCell ref="A8:B8"/>
    <mergeCell ref="E8:G8"/>
    <mergeCell ref="A9:B9"/>
    <mergeCell ref="E9:G9"/>
    <mergeCell ref="A10:B10"/>
    <mergeCell ref="E10:G10"/>
    <mergeCell ref="A11:B11"/>
    <mergeCell ref="E11:G11"/>
    <mergeCell ref="A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A23:G23"/>
    <mergeCell ref="A31:G31"/>
    <mergeCell ref="A33:G33"/>
    <mergeCell ref="A41:G41"/>
    <mergeCell ref="A43:G43"/>
    <mergeCell ref="B44:C44"/>
    <mergeCell ref="D44:E44"/>
    <mergeCell ref="F44:G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B49:C49"/>
    <mergeCell ref="D49:E49"/>
    <mergeCell ref="F49:G49"/>
    <mergeCell ref="A51:G51"/>
    <mergeCell ref="A52:B52"/>
    <mergeCell ref="D52:G52"/>
    <mergeCell ref="A53:B53"/>
    <mergeCell ref="D53:G53"/>
    <mergeCell ref="A54:B54"/>
    <mergeCell ref="D54:G54"/>
    <mergeCell ref="A55:B55"/>
    <mergeCell ref="D55:G55"/>
    <mergeCell ref="A56:B56"/>
    <mergeCell ref="D56:G56"/>
    <mergeCell ref="A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30"/>
    <col collapsed="false" customWidth="true" hidden="false" outlineLevel="0" max="4" min="4" style="0" width="50"/>
  </cols>
  <sheetData>
    <row r="1" customFormat="false" ht="21.75" hidden="false" customHeight="true" outlineLevel="0" collapsed="false">
      <c r="A1" s="62" t="s">
        <v>226</v>
      </c>
      <c r="B1" s="62"/>
      <c r="C1" s="62"/>
      <c r="D1" s="62"/>
    </row>
    <row r="3" customFormat="false" ht="24" hidden="false" customHeight="true" outlineLevel="0" collapsed="false">
      <c r="A3" s="63" t="s">
        <v>3</v>
      </c>
      <c r="B3" s="64" t="s">
        <v>227</v>
      </c>
      <c r="C3" s="64" t="s">
        <v>228</v>
      </c>
      <c r="D3" s="63" t="s">
        <v>229</v>
      </c>
    </row>
    <row r="4" customFormat="false" ht="57.75" hidden="false" customHeight="true" outlineLevel="0" collapsed="false">
      <c r="A4" s="65" t="s">
        <v>230</v>
      </c>
      <c r="B4" s="66" t="s">
        <v>231</v>
      </c>
      <c r="C4" s="66" t="s">
        <v>232</v>
      </c>
      <c r="D4" s="66" t="s">
        <v>233</v>
      </c>
    </row>
    <row r="5" customFormat="false" ht="57.75" hidden="false" customHeight="true" outlineLevel="0" collapsed="false">
      <c r="A5" s="66" t="s">
        <v>12</v>
      </c>
      <c r="B5" s="66" t="s">
        <v>234</v>
      </c>
      <c r="C5" s="66" t="s">
        <v>235</v>
      </c>
      <c r="D5" s="66" t="s">
        <v>236</v>
      </c>
    </row>
    <row r="6" customFormat="false" ht="57.75" hidden="false" customHeight="true" outlineLevel="0" collapsed="false">
      <c r="A6" s="65" t="s">
        <v>237</v>
      </c>
      <c r="B6" s="66" t="s">
        <v>238</v>
      </c>
      <c r="C6" s="66" t="s">
        <v>239</v>
      </c>
      <c r="D6" s="65" t="s">
        <v>240</v>
      </c>
    </row>
    <row r="7" customFormat="false" ht="57.75" hidden="false" customHeight="true" outlineLevel="0" collapsed="false">
      <c r="A7" s="65" t="s">
        <v>241</v>
      </c>
      <c r="B7" s="66" t="s">
        <v>242</v>
      </c>
      <c r="C7" s="66" t="s">
        <v>243</v>
      </c>
      <c r="D7" s="66" t="s">
        <v>244</v>
      </c>
    </row>
    <row r="8" customFormat="false" ht="57.75" hidden="false" customHeight="true" outlineLevel="0" collapsed="false">
      <c r="A8" s="65" t="s">
        <v>245</v>
      </c>
      <c r="B8" s="66" t="s">
        <v>246</v>
      </c>
      <c r="C8" s="65" t="s">
        <v>247</v>
      </c>
      <c r="D8" s="66" t="s">
        <v>248</v>
      </c>
    </row>
    <row r="9" customFormat="false" ht="57.75" hidden="false" customHeight="true" outlineLevel="0" collapsed="false">
      <c r="A9" s="65" t="s">
        <v>249</v>
      </c>
      <c r="B9" s="65" t="s">
        <v>250</v>
      </c>
      <c r="C9" s="66" t="s">
        <v>251</v>
      </c>
      <c r="D9" s="66" t="s">
        <v>252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2026-08-31T03:57:00Z</dcterms:created>
  <dc:creator>openpyxl</dc:creator>
  <dc:description/>
  <dc:language>en-US</dc:language>
  <cp:lastModifiedBy/>
  <dcterms:modified xsi:type="dcterms:W3CDTF">2026-08-31T03:57:00Z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