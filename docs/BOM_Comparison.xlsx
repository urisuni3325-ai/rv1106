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단가·기능 비교" sheetId="1" state="visible" r:id="rId3"/>
    <sheet name="카메라·광학" sheetId="2" state="visible" r:id="rId4"/>
    <sheet name="타사 제품 분석" sheetId="3" state="visible" r:id="rId5"/>
    <sheet name="설계·인증" sheetId="4" state="visible" r:id="rId6"/>
    <sheet name="최초 견적 (참고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<sst xmlns="http://schemas.openxmlformats.org/spreadsheetml/2006/main" count="591" uniqueCount="511">
  <si>
    <r>
      <rPr>
        <b val="true"/>
        <sz val="15"/>
        <color rgb="FF1F3864"/>
        <rFont val="맑은 고딕"/>
        <family val="0"/>
        <charset val="1"/>
      </rPr>
      <t xml:space="preserve">BOM </t>
    </r>
    <r>
      <rPr>
        <b val="true"/>
        <sz val="15"/>
        <color rgb="FF1F3864"/>
        <rFont val="WenQuanYi Zen Hei"/>
        <family val="2"/>
      </rPr>
      <t xml:space="preserve">단가 </t>
    </r>
    <r>
      <rPr>
        <b val="true"/>
        <sz val="15"/>
        <color rgb="FF1F3864"/>
        <rFont val="맑은 고딕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기능 비교  </t>
    </r>
    <r>
      <rPr>
        <b val="true"/>
        <sz val="15"/>
        <color rgb="FF1F3864"/>
        <rFont val="맑은 고딕"/>
        <family val="0"/>
        <charset val="1"/>
      </rPr>
      <t xml:space="preserve">|  1</t>
    </r>
    <r>
      <rPr>
        <b val="true"/>
        <sz val="15"/>
        <color rgb="FF1F3864"/>
        <rFont val="WenQuanYi Zen Hei"/>
        <family val="2"/>
      </rPr>
      <t xml:space="preserve">안 </t>
    </r>
    <r>
      <rPr>
        <b val="true"/>
        <sz val="15"/>
        <color rgb="FF1F3864"/>
        <rFont val="맑은 고딕"/>
        <family val="0"/>
        <charset val="1"/>
      </rPr>
      <t xml:space="preserve">RV1106G3 </t>
    </r>
    <r>
      <rPr>
        <b val="true"/>
        <sz val="15"/>
        <color rgb="FF1F3864"/>
        <rFont val="WenQuanYi Zen Hei"/>
        <family val="2"/>
      </rPr>
      <t xml:space="preserve">기반  </t>
    </r>
    <r>
      <rPr>
        <b val="true"/>
        <sz val="15"/>
        <color rgb="FF1F3864"/>
        <rFont val="맑은 고딕"/>
        <family val="0"/>
        <charset val="1"/>
      </rPr>
      <t xml:space="preserve">vs  2</t>
    </r>
    <r>
      <rPr>
        <b val="true"/>
        <sz val="15"/>
        <color rgb="FF1F3864"/>
        <rFont val="WenQuanYi Zen Hei"/>
        <family val="2"/>
      </rPr>
      <t xml:space="preserve">안 비컨제품 </t>
    </r>
    <r>
      <rPr>
        <b val="true"/>
        <sz val="15"/>
        <color rgb="FF1F3864"/>
        <rFont val="맑은 고딕"/>
        <family val="0"/>
        <charset val="1"/>
      </rPr>
      <t xml:space="preserve">(PX30 </t>
    </r>
    <r>
      <rPr>
        <b val="true"/>
        <sz val="15"/>
        <color rgb="FF1F3864"/>
        <rFont val="WenQuanYi Zen Hei"/>
        <family val="2"/>
      </rPr>
      <t xml:space="preserve">기반</t>
    </r>
    <r>
      <rPr>
        <b val="true"/>
        <sz val="15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</si>
  <si>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단위</t>
    </r>
    <r>
      <rPr>
        <i val="true"/>
        <sz val="9"/>
        <color rgb="FF7F7F7F"/>
        <rFont val="맑은 고딕"/>
        <family val="0"/>
        <charset val="1"/>
      </rPr>
      <t xml:space="preserve">: </t>
    </r>
    <r>
      <rPr>
        <i val="true"/>
        <sz val="9"/>
        <color rgb="FF7F7F7F"/>
        <rFont val="WenQuanYi Zen Hei"/>
        <family val="2"/>
      </rPr>
      <t xml:space="preserve">원</t>
    </r>
    <r>
      <rPr>
        <i val="true"/>
        <sz val="9"/>
        <color rgb="FF7F7F7F"/>
        <rFont val="맑은 고딕"/>
        <family val="0"/>
        <charset val="1"/>
      </rPr>
      <t xml:space="preserve">(VAT </t>
    </r>
    <r>
      <rPr>
        <i val="true"/>
        <sz val="9"/>
        <color rgb="FF7F7F7F"/>
        <rFont val="WenQuanYi Zen Hei"/>
        <family val="2"/>
      </rPr>
      <t xml:space="preserve">별도</t>
    </r>
    <r>
      <rPr>
        <i val="true"/>
        <sz val="9"/>
        <color rgb="FF7F7F7F"/>
        <rFont val="맑은 고딕"/>
        <family val="0"/>
        <charset val="1"/>
      </rPr>
      <t xml:space="preserve">) · </t>
    </r>
    <r>
      <rPr>
        <i val="true"/>
        <sz val="9"/>
        <color rgb="FF7F7F7F"/>
        <rFont val="WenQuanYi Zen Hei"/>
        <family val="2"/>
      </rPr>
      <t xml:space="preserve">수량 </t>
    </r>
    <r>
      <rPr>
        <i val="true"/>
        <sz val="9"/>
        <color rgb="FF7F7F7F"/>
        <rFont val="맑은 고딕"/>
        <family val="0"/>
        <charset val="1"/>
      </rPr>
      <t xml:space="preserve">1</t>
    </r>
    <r>
      <rPr>
        <i val="true"/>
        <sz val="9"/>
        <color rgb="FF7F7F7F"/>
        <rFont val="WenQuanYi Zen Hei"/>
        <family val="2"/>
      </rPr>
      <t xml:space="preserve">대 기준 </t>
    </r>
    <r>
      <rPr>
        <i val="true"/>
        <sz val="9"/>
        <color rgb="FF7F7F7F"/>
        <rFont val="맑은 고딕"/>
        <family val="0"/>
        <charset val="1"/>
      </rPr>
      <t xml:space="preserve">· </t>
    </r>
    <r>
      <rPr>
        <i val="true"/>
        <sz val="9"/>
        <color rgb="FF7F7F7F"/>
        <rFont val="WenQuanYi Zen Hei"/>
        <family val="2"/>
      </rPr>
      <t xml:space="preserve">카메라 모듈은 양쪽 모두 단가에 미포함 </t>
    </r>
    <r>
      <rPr>
        <i val="true"/>
        <sz val="9"/>
        <color rgb="FF7F7F7F"/>
        <rFont val="맑은 고딕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 기능 비교 참고</t>
    </r>
    <r>
      <rPr>
        <i val="true"/>
        <sz val="9"/>
        <color rgb="FF7F7F7F"/>
        <rFont val="맑은 고딕"/>
        <family val="0"/>
        <charset val="1"/>
      </rPr>
      <t xml:space="preserve">)</t>
    </r>
  </si>
  <si>
    <r>
      <rPr>
        <b val="true"/>
        <sz val="12"/>
        <color rgb="FF1F3864"/>
        <rFont val="맑은 고딕"/>
        <family val="0"/>
        <charset val="1"/>
      </rPr>
      <t xml:space="preserve">■ 1. BOM </t>
    </r>
    <r>
      <rPr>
        <b val="true"/>
        <sz val="12"/>
        <color rgb="FF1F3864"/>
        <rFont val="WenQuanYi Zen Hei"/>
        <family val="2"/>
      </rPr>
      <t xml:space="preserve">단가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</si>
  <si>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</si>
  <si>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부품</t>
    </r>
  </si>
  <si>
    <r>
      <rPr>
        <b val="true"/>
        <sz val="10"/>
        <color rgb="FFFFFFFF"/>
        <rFont val="WenQuanYi Zen Hei"/>
        <family val="2"/>
      </rPr>
      <t xml:space="preserve">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</si>
  <si>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</t>
    </r>
  </si>
  <si>
    <t xml:space="preserve">비고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</si>
  <si>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맑은 고딕"/>
        <family val="0"/>
        <charset val="1"/>
      </rPr>
      <t xml:space="preserve">SoC</t>
    </r>
  </si>
  <si>
    <t xml:space="preserve">RV1106G3 (Rockchip)</t>
  </si>
  <si>
    <t xml:space="preserve">PX30 (Rockchip)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</si>
  <si>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단가는 샘플 추정치이며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중국 현지 도매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알리바바 대량 공급사 및 락칩 대리점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를 통해 </t>
    </r>
    <r>
      <rPr>
        <sz val="9"/>
        <color rgb="FF404040"/>
        <rFont val="맑은 고딕"/>
        <family val="0"/>
        <charset val="1"/>
      </rPr>
      <t xml:space="preserve">1,000</t>
    </r>
    <r>
      <rPr>
        <sz val="9"/>
        <color rgb="FF404040"/>
        <rFont val="WenQuanYi Zen Hei"/>
        <family val="2"/>
      </rPr>
      <t xml:space="preserve">개 단위</t>
    </r>
    <r>
      <rPr>
        <sz val="9"/>
        <color rgb="FF404040"/>
        <rFont val="맑은 고딕"/>
        <family val="0"/>
        <charset val="1"/>
      </rPr>
      <t xml:space="preserve">(1 Tray </t>
    </r>
    <r>
      <rPr>
        <sz val="9"/>
        <color rgb="FF404040"/>
        <rFont val="WenQuanYi Zen Hei"/>
        <family val="2"/>
      </rPr>
      <t xml:space="preserve">단위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통상 </t>
    </r>
    <r>
      <rPr>
        <sz val="9"/>
        <color rgb="FF404040"/>
        <rFont val="맑은 고딕"/>
        <family val="0"/>
        <charset val="1"/>
      </rPr>
      <t xml:space="preserve">1 MOQ</t>
    </r>
    <r>
      <rPr>
        <sz val="9"/>
        <color rgb="FF404040"/>
        <rFont val="WenQuanYi Zen Hei"/>
        <family val="2"/>
      </rPr>
      <t xml:space="preserve">가 약 </t>
    </r>
    <r>
      <rPr>
        <sz val="9"/>
        <color rgb="FF404040"/>
        <rFont val="맑은 고딕"/>
        <family val="0"/>
        <charset val="1"/>
      </rPr>
      <t xml:space="preserve">1,520</t>
    </r>
    <r>
      <rPr>
        <sz val="9"/>
        <color rgb="FF404040"/>
        <rFont val="WenQuanYi Zen Hei"/>
        <family val="2"/>
      </rPr>
      <t xml:space="preserve">개 내외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정식 견적을 받으면 내려갈 수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</si>
  <si>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RAM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</si>
  <si>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</t>
    </r>
  </si>
  <si>
    <r>
      <rPr>
        <sz val="10"/>
        <rFont val="맑은 고딕"/>
        <family val="0"/>
        <charset val="1"/>
      </rPr>
      <t xml:space="preserve">H5TQ4G63EFR (SK Hynix) × 2</t>
    </r>
    <r>
      <rPr>
        <sz val="10"/>
        <rFont val="WenQuanYi Zen Hei"/>
        <family val="2"/>
      </rPr>
      <t xml:space="preserve">개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</si>
  <si>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에 내장되어 추가 비용 없음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17,100</t>
    </r>
    <r>
      <rPr>
        <sz val="9"/>
        <color rgb="FF404040"/>
        <rFont val="WenQuanYi Zen Hei"/>
        <family val="2"/>
      </rPr>
      <t xml:space="preserve">원 </t>
    </r>
    <r>
      <rPr>
        <sz val="9"/>
        <color rgb="FF404040"/>
        <rFont val="맑은 고딕"/>
        <family val="0"/>
        <charset val="1"/>
      </rPr>
      <t xml:space="preserve">× 2</t>
    </r>
    <r>
      <rPr>
        <sz val="9"/>
        <color rgb="FF404040"/>
        <rFont val="WenQuanYi Zen Hei"/>
        <family val="2"/>
      </rPr>
      <t xml:space="preserve">개 </t>
    </r>
    <r>
      <rPr>
        <sz val="9"/>
        <color rgb="FF404040"/>
        <rFont val="맑은 고딕"/>
        <family val="0"/>
        <charset val="1"/>
      </rPr>
      <t xml:space="preserve">= 34,200</t>
    </r>
    <r>
      <rPr>
        <sz val="9"/>
        <color rgb="FF404040"/>
        <rFont val="WenQuanYi Zen Hei"/>
        <family val="2"/>
      </rPr>
      <t xml:space="preserve">원으로 </t>
    </r>
    <r>
      <rPr>
        <sz val="9"/>
        <color rgb="FF404040"/>
        <rFont val="맑은 고딕"/>
        <family val="0"/>
        <charset val="1"/>
      </rPr>
      <t xml:space="preserve">BOM </t>
    </r>
    <r>
      <rPr>
        <sz val="9"/>
        <color rgb="FF404040"/>
        <rFont val="WenQuanYi Zen Hei"/>
        <family val="2"/>
      </rPr>
      <t xml:space="preserve">최대 비중</t>
    </r>
    <r>
      <rPr>
        <sz val="9"/>
        <color rgb="FF404040"/>
        <rFont val="맑은 고딕"/>
        <family val="0"/>
        <charset val="1"/>
      </rPr>
      <t xml:space="preserve">.</t>
    </r>
  </si>
  <si>
    <t xml:space="preserve">eMMC</t>
  </si>
  <si>
    <t xml:space="preserve">KLM8G1GETF (Samsung 8GB)</t>
  </si>
  <si>
    <t xml:space="preserve">KLMAG1JETD (Samsung 16GB)</t>
  </si>
  <si>
    <r>
      <rPr>
        <sz val="9"/>
        <color rgb="FF404040"/>
        <rFont val="WenQuanYi Zen Hei"/>
        <family val="2"/>
      </rPr>
      <t xml:space="preserve">단가 변동 있음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용량이 </t>
    </r>
    <r>
      <rPr>
        <sz val="9"/>
        <color rgb="FF404040"/>
        <rFont val="맑은 고딕"/>
        <family val="0"/>
        <charset val="1"/>
      </rPr>
      <t xml:space="preserve">8GB vs 16GB</t>
    </r>
    <r>
      <rPr>
        <sz val="9"/>
        <color rgb="FF404040"/>
        <rFont val="WenQuanYi Zen Hei"/>
        <family val="2"/>
      </rPr>
      <t xml:space="preserve">로 달라 동일 조건 비교는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</si>
  <si>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wifi+BL</t>
  </si>
  <si>
    <t xml:space="preserve">SKLWB800DCS.2 (WiFi)</t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</si>
  <si>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</si>
  <si>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구분은 </t>
    </r>
    <r>
      <rPr>
        <sz val="9"/>
        <color rgb="FF404040"/>
        <rFont val="맑은 고딕"/>
        <family val="0"/>
        <charset val="1"/>
      </rPr>
      <t xml:space="preserve">wifi+BL</t>
    </r>
    <r>
      <rPr>
        <sz val="9"/>
        <color rgb="FF404040"/>
        <rFont val="WenQuanYi Zen Hei"/>
        <family val="2"/>
      </rPr>
      <t xml:space="preserve">인데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모듈은 표기상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전용임</t>
    </r>
    <r>
      <rPr>
        <sz val="9"/>
        <color rgb="FF404040"/>
        <rFont val="맑은 고딕"/>
        <family val="0"/>
        <charset val="1"/>
      </rPr>
      <t xml:space="preserve">. BLE</t>
    </r>
    <r>
      <rPr>
        <sz val="9"/>
        <color rgb="FF404040"/>
        <rFont val="WenQuanYi Zen Hei"/>
        <family val="2"/>
      </rPr>
      <t xml:space="preserve">가 필수 사양이면 콤보 모듈로 교체해야 하고 단가가 올라갈 수 있음 → 공급사 확인 필요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</si>
  <si>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합계</t>
  </si>
  <si>
    <r>
      <rPr>
        <sz val="9"/>
        <color rgb="FF404040"/>
        <rFont val="WenQuanYi Zen Hei"/>
        <family val="2"/>
      </rPr>
      <t xml:space="preserve">카메라 모듈 미포함 기준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동일 조건으로 비교한 값임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</si>
  <si>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기능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사양 비교</t>
    </r>
  </si>
  <si>
    <t xml:space="preserve">항목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</si>
  <si>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(RV1106G3)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</si>
  <si>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 </t>
    </r>
    <r>
      <rPr>
        <b val="true"/>
        <sz val="10"/>
        <color rgb="FFFFFFFF"/>
        <rFont val="맑은 고딕"/>
        <family val="0"/>
        <charset val="1"/>
      </rPr>
      <t xml:space="preserve">(PX30)</t>
    </r>
  </si>
  <si>
    <t xml:space="preserve">카메라 화소</t>
  </si>
  <si>
    <t xml:space="preserve">3MP — SC3336 (2304×1296)</t>
  </si>
  <si>
    <t xml:space="preserve">64MP — ISOCELL GW3 (S5KGW3)</t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</si>
  <si>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0.7μm </t>
    </r>
    <r>
      <rPr>
        <sz val="9"/>
        <color rgb="FF404040"/>
        <rFont val="WenQuanYi Zen Hei"/>
        <family val="2"/>
      </rPr>
      <t xml:space="preserve">픽셀의 스마트폰용 센서로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저조도에서는 </t>
    </r>
    <r>
      <rPr>
        <sz val="9"/>
        <color rgb="FF404040"/>
        <rFont val="맑은 고딕"/>
        <family val="0"/>
        <charset val="1"/>
      </rPr>
      <t xml:space="preserve">4:1 </t>
    </r>
    <r>
      <rPr>
        <sz val="9"/>
        <color rgb="FF404040"/>
        <rFont val="WenQuanYi Zen Hei"/>
        <family val="2"/>
      </rPr>
      <t xml:space="preserve">비닝되어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로 동작함</t>
    </r>
    <r>
      <rPr>
        <sz val="9"/>
        <color rgb="FF404040"/>
        <rFont val="맑은 고딕"/>
        <family val="0"/>
        <charset val="1"/>
      </rPr>
      <t xml:space="preserve">. 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는 물론 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도 그대로 받지 못하며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실시간 스트리밍은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자세한 계산은 카메라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광학 시트 참고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</si>
  <si>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접사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배율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</si>
  <si>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M12 </t>
    </r>
    <r>
      <rPr>
        <sz val="10"/>
        <rFont val="WenQuanYi Zen Hei"/>
        <family val="2"/>
      </rPr>
      <t xml:space="preserve">렌즈 연장으로 시야 폭 </t>
    </r>
    <r>
      <rPr>
        <sz val="10"/>
        <rFont val="맑은 고딕"/>
        <family val="0"/>
        <charset val="1"/>
      </rPr>
      <t xml:space="preserve">2~3mm(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확보</t>
    </r>
  </si>
  <si>
    <t xml:space="preserve">확인 필요</t>
  </si>
  <si>
    <r>
      <rPr>
        <sz val="9"/>
        <color rgb="FF404040"/>
        <rFont val="WenQuanYi Zen Hei"/>
        <family val="2"/>
      </rPr>
      <t xml:space="preserve">접사는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가 아니라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 결정함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모두 광학 설계에 좌우되며 칩 선택과 무관함</t>
    </r>
    <r>
      <rPr>
        <sz val="9"/>
        <color rgb="FF404040"/>
        <rFont val="맑은 고딕"/>
        <family val="0"/>
        <charset val="1"/>
      </rPr>
      <t xml:space="preserve">. (docs/scalp-scope.md)</t>
    </r>
  </si>
  <si>
    <t xml:space="preserve">두피 관찰 해상력</t>
  </si>
  <si>
    <r>
      <rPr>
        <sz val="10"/>
        <rFont val="WenQuanYi Zen Hei"/>
        <family val="2"/>
      </rPr>
      <t xml:space="preserve">회절 한계 약 </t>
    </r>
    <r>
      <rPr>
        <sz val="10"/>
        <rFont val="맑은 고딕"/>
        <family val="0"/>
        <charset val="1"/>
      </rPr>
      <t xml:space="preserve">4.8μm (</t>
    </r>
    <r>
      <rPr>
        <sz val="10"/>
        <rFont val="WenQuanYi Zen Hei"/>
        <family val="2"/>
      </rPr>
      <t xml:space="preserve">시야 </t>
    </r>
    <r>
      <rPr>
        <sz val="10"/>
        <rFont val="맑은 고딕"/>
        <family val="0"/>
        <charset val="1"/>
      </rPr>
      <t xml:space="preserve">4mm)</t>
    </r>
  </si>
  <si>
    <r>
      <rPr>
        <sz val="10"/>
        <rFont val="WenQuanYi Zen Hei"/>
        <family val="2"/>
      </rPr>
      <t xml:space="preserve">회절 한계 약 </t>
    </r>
    <r>
      <rPr>
        <sz val="10"/>
        <rFont val="맑은 고딕"/>
        <family val="0"/>
        <charset val="1"/>
      </rPr>
      <t xml:space="preserve">4.3μm (</t>
    </r>
    <r>
      <rPr>
        <sz val="10"/>
        <rFont val="WenQuanYi Zen Hei"/>
        <family val="2"/>
      </rPr>
      <t xml:space="preserve">시야 </t>
    </r>
    <r>
      <rPr>
        <sz val="10"/>
        <rFont val="맑은 고딕"/>
        <family val="0"/>
        <charset val="1"/>
      </rPr>
      <t xml:space="preserve">4mm)</t>
    </r>
  </si>
  <si>
    <r>
      <rPr>
        <sz val="9"/>
        <color rgb="FF404040"/>
        <rFont val="WenQuanYi Zen Hei"/>
        <family val="2"/>
      </rPr>
      <t xml:space="preserve">★ 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 차이지만 실제 구분 가능한 크기는 약 </t>
    </r>
    <r>
      <rPr>
        <sz val="9"/>
        <color rgb="FF404040"/>
        <rFont val="맑은 고딕"/>
        <family val="0"/>
        <charset val="1"/>
      </rPr>
      <t xml:space="preserve">10%</t>
    </r>
    <r>
      <rPr>
        <sz val="9"/>
        <color rgb="FF404040"/>
        <rFont val="WenQuanYi Zen Hei"/>
        <family val="2"/>
      </rPr>
      <t xml:space="preserve">만 다름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접사에서는 회절이 해상력을 지배하기 때문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안은 이미 광학 한계보다 촘촘히 샘플링하고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</si>
  <si>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영상 인코딩</t>
  </si>
  <si>
    <r>
      <rPr>
        <sz val="10"/>
        <rFont val="맑은 고딕"/>
        <family val="0"/>
        <charset val="1"/>
      </rPr>
      <t xml:space="preserve">H.264 + H.265 </t>
    </r>
    <r>
      <rPr>
        <sz val="10"/>
        <rFont val="WenQuanYi Zen Hei"/>
        <family val="2"/>
      </rPr>
      <t xml:space="preserve">하드웨어 인코딩</t>
    </r>
  </si>
  <si>
    <r>
      <rPr>
        <sz val="10"/>
        <rFont val="맑은 고딕"/>
        <family val="0"/>
        <charset val="1"/>
      </rPr>
      <t xml:space="preserve">H.264 1080p@30 (H.265 </t>
    </r>
    <r>
      <rPr>
        <sz val="10"/>
        <rFont val="WenQuanYi Zen Hei"/>
        <family val="2"/>
      </rPr>
      <t xml:space="preserve">인코딩 없음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</si>
  <si>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H.265</t>
    </r>
    <r>
      <rPr>
        <sz val="9"/>
        <color rgb="FF404040"/>
        <rFont val="WenQuanYi Zen Hei"/>
        <family val="2"/>
      </rPr>
      <t xml:space="preserve">는 같은 화질에서 비트레이트가 더 낮아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전송에 유리함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안만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</si>
  <si>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NPU (</t>
    </r>
    <r>
      <rPr>
        <b val="true"/>
        <sz val="10"/>
        <rFont val="WenQuanYi Zen Hei"/>
        <family val="2"/>
      </rPr>
      <t xml:space="preserve">온디바이스 </t>
    </r>
    <r>
      <rPr>
        <b val="true"/>
        <sz val="10"/>
        <rFont val="맑은 고딕"/>
        <family val="0"/>
        <charset val="1"/>
      </rPr>
      <t xml:space="preserve">AI)</t>
    </r>
  </si>
  <si>
    <r>
      <rPr>
        <sz val="10"/>
        <rFont val="맑은 고딕"/>
        <family val="0"/>
        <charset val="1"/>
      </rPr>
      <t xml:space="preserve">1.0 TOPS (4</t>
    </r>
    <r>
      <rPr>
        <sz val="10"/>
        <rFont val="WenQuanYi Zen Hei"/>
        <family val="2"/>
      </rPr>
      <t xml:space="preserve">세대 </t>
    </r>
    <r>
      <rPr>
        <sz val="10"/>
        <rFont val="맑은 고딕"/>
        <family val="0"/>
        <charset val="1"/>
      </rPr>
      <t xml:space="preserve">NPU)</t>
    </r>
  </si>
  <si>
    <t xml:space="preserve">없음</t>
  </si>
  <si>
    <r>
      <rPr>
        <sz val="9"/>
        <color rgb="FF404040"/>
        <rFont val="WenQuanYi Zen Hei"/>
        <family val="2"/>
      </rPr>
      <t xml:space="preserve">두피 분석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모발 카운팅을 보드에서 직접 돌리려면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안만 가능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폰이나 서버로 영상을 보내서 처리해야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</si>
  <si>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ISP</t>
  </si>
  <si>
    <r>
      <rPr>
        <sz val="10"/>
        <rFont val="맑은 고딕"/>
        <family val="0"/>
        <charset val="1"/>
      </rPr>
      <t xml:space="preserve">ISP 3.2 —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8MP@15fps</t>
    </r>
  </si>
  <si>
    <r>
      <rPr>
        <sz val="10"/>
        <rFont val="맑은 고딕"/>
        <family val="0"/>
        <charset val="1"/>
      </rPr>
      <t xml:space="preserve">8MP ISP, MIPI-CSI 4</t>
    </r>
    <r>
      <rPr>
        <sz val="10"/>
        <rFont val="WenQuanYi Zen Hei"/>
        <family val="2"/>
      </rPr>
      <t xml:space="preserve">레인</t>
    </r>
  </si>
  <si>
    <r>
      <rPr>
        <sz val="9"/>
        <color rgb="FF404040"/>
        <rFont val="WenQuanYi Zen Hei"/>
        <family val="2"/>
      </rPr>
      <t xml:space="preserve">카메라 처리 상한은 양쪽이 사실상 동급</t>
    </r>
    <r>
      <rPr>
        <sz val="9"/>
        <color rgb="FF404040"/>
        <rFont val="맑은 고딕"/>
        <family val="0"/>
        <charset val="1"/>
      </rPr>
      <t xml:space="preserve">. 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를 살릴 수 있는 쪽은 어느 안도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</si>
  <si>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CPU / GPU</t>
  </si>
  <si>
    <r>
      <rPr>
        <sz val="10"/>
        <rFont val="맑은 고딕"/>
        <family val="0"/>
        <charset val="1"/>
      </rPr>
      <t xml:space="preserve">Cortex-A7 1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RISC-V MCU (GPU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</si>
  <si>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Cortex-A35 4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Mali-G31 GPU</t>
    </r>
  </si>
  <si>
    <r>
      <rPr>
        <sz val="9"/>
        <color rgb="FF404040"/>
        <rFont val="WenQuanYi Zen Hei"/>
        <family val="2"/>
      </rPr>
      <t xml:space="preserve">범용 연산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그래픽은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우위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보드에 화면과 </t>
    </r>
    <r>
      <rPr>
        <sz val="9"/>
        <color rgb="FF404040"/>
        <rFont val="맑은 고딕"/>
        <family val="0"/>
        <charset val="1"/>
      </rPr>
      <t xml:space="preserve">UI</t>
    </r>
    <r>
      <rPr>
        <sz val="9"/>
        <color rgb="FF404040"/>
        <rFont val="WenQuanYi Zen Hei"/>
        <family val="2"/>
      </rPr>
      <t xml:space="preserve">를 직접 띄우려면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유리하고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스트리밍 전용이면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안으로 충분함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</si>
  <si>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메모리 구성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</si>
  <si>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 </t>
    </r>
    <r>
      <rPr>
        <sz val="10"/>
        <rFont val="맑은 고딕"/>
        <family val="0"/>
        <charset val="1"/>
      </rPr>
      <t xml:space="preserve">256MB DDR3L (SIP)</t>
    </r>
  </si>
  <si>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DDR3 1GB (2</t>
    </r>
    <r>
      <rPr>
        <sz val="10"/>
        <rFont val="WenQuanYi Zen Hei"/>
        <family val="2"/>
      </rPr>
      <t xml:space="preserve">칩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</si>
  <si>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외부 </t>
    </r>
    <r>
      <rPr>
        <sz val="9"/>
        <color rgb="FF404040"/>
        <rFont val="맑은 고딕"/>
        <family val="0"/>
        <charset val="1"/>
      </rPr>
      <t xml:space="preserve">RAM </t>
    </r>
    <r>
      <rPr>
        <sz val="9"/>
        <color rgb="FF404040"/>
        <rFont val="WenQuanYi Zen Hei"/>
        <family val="2"/>
      </rPr>
      <t xml:space="preserve">배선이 없어 기판 면적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레이어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조립 공정이 함께 줄고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전기적 검증</t>
    </r>
    <r>
      <rPr>
        <sz val="9"/>
        <color rgb="FF404040"/>
        <rFont val="맑은 고딕"/>
        <family val="0"/>
        <charset val="1"/>
      </rPr>
      <t xml:space="preserve">(SI/PI)</t>
    </r>
    <r>
      <rPr>
        <sz val="9"/>
        <color rgb="FF404040"/>
        <rFont val="WenQuanYi Zen Hei"/>
        <family val="2"/>
      </rPr>
      <t xml:space="preserve">과 </t>
    </r>
    <r>
      <rPr>
        <sz val="9"/>
        <color rgb="FF404040"/>
        <rFont val="맑은 고딕"/>
        <family val="0"/>
        <charset val="1"/>
      </rPr>
      <t xml:space="preserve">EMC </t>
    </r>
    <r>
      <rPr>
        <sz val="9"/>
        <color rgb="FF404040"/>
        <rFont val="WenQuanYi Zen Hei"/>
        <family val="2"/>
      </rPr>
      <t xml:space="preserve">방사 시험 부담도 낮아짐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특히 </t>
    </r>
    <r>
      <rPr>
        <sz val="9"/>
        <color rgb="FF404040"/>
        <rFont val="맑은 고딕"/>
        <family val="0"/>
        <charset val="1"/>
      </rPr>
      <t xml:space="preserve">DDR3-1600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3</t>
    </r>
    <r>
      <rPr>
        <sz val="9"/>
        <color rgb="FF404040"/>
        <rFont val="WenQuanYi Zen Hei"/>
        <family val="2"/>
      </rPr>
      <t xml:space="preserve">차 하모닉</t>
    </r>
    <r>
      <rPr>
        <sz val="9"/>
        <color rgb="FF404040"/>
        <rFont val="맑은 고딕"/>
        <family val="0"/>
        <charset val="1"/>
      </rPr>
      <t xml:space="preserve">(2,400MHz)</t>
    </r>
    <r>
      <rPr>
        <sz val="9"/>
        <color rgb="FF404040"/>
        <rFont val="WenQuanYi Zen Hei"/>
        <family val="2"/>
      </rPr>
      <t xml:space="preserve">이 </t>
    </r>
    <r>
      <rPr>
        <sz val="9"/>
        <color rgb="FF404040"/>
        <rFont val="맑은 고딕"/>
        <family val="0"/>
        <charset val="1"/>
      </rPr>
      <t xml:space="preserve">2.4GHz WiFi </t>
    </r>
    <r>
      <rPr>
        <sz val="9"/>
        <color rgb="FF404040"/>
        <rFont val="WenQuanYi Zen Hei"/>
        <family val="2"/>
      </rPr>
      <t xml:space="preserve">대역과 겹쳐 디센스를 일으킬 수 있는데</t>
    </r>
    <r>
      <rPr>
        <sz val="9"/>
        <color rgb="FF404040"/>
        <rFont val="맑은 고딕"/>
        <family val="0"/>
        <charset val="1"/>
      </rPr>
      <t xml:space="preserve">, 1</t>
    </r>
    <r>
      <rPr>
        <sz val="9"/>
        <color rgb="FF404040"/>
        <rFont val="WenQuanYi Zen Hei"/>
        <family val="2"/>
      </rPr>
      <t xml:space="preserve">안은 이 위험이 근본적으로 작음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자세한 내용은 설계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인증 시트 참고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</si>
  <si>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실시간 스트리밍</t>
  </si>
  <si>
    <r>
      <rPr>
        <sz val="10"/>
        <rFont val="맑은 고딕"/>
        <family val="0"/>
        <charset val="1"/>
      </rPr>
      <t xml:space="preserve">RTSP </t>
    </r>
    <r>
      <rPr>
        <sz val="10"/>
        <rFont val="WenQuanYi Zen Hei"/>
        <family val="2"/>
      </rPr>
      <t xml:space="preserve">서버 내장</t>
    </r>
    <r>
      <rPr>
        <sz val="10"/>
        <rFont val="맑은 고딕"/>
        <family val="0"/>
        <charset val="1"/>
      </rPr>
      <t xml:space="preserve">(rkipc) + </t>
    </r>
    <r>
      <rPr>
        <sz val="10"/>
        <rFont val="WenQuanYi Zen Hei"/>
        <family val="2"/>
      </rPr>
      <t xml:space="preserve">안드로이드 앱 연동 완료</t>
    </r>
  </si>
  <si>
    <r>
      <rPr>
        <sz val="9"/>
        <color rgb="FF404040"/>
        <rFont val="WenQuanYi Zen Hei"/>
        <family val="2"/>
      </rPr>
      <t xml:space="preserve">이 저장소에 </t>
    </r>
    <r>
      <rPr>
        <sz val="9"/>
        <color rgb="FF404040"/>
        <rFont val="맑은 고딕"/>
        <family val="0"/>
        <charset val="1"/>
      </rPr>
      <t xml:space="preserve">1080p/25fps </t>
    </r>
    <r>
      <rPr>
        <sz val="9"/>
        <color rgb="FF404040"/>
        <rFont val="WenQuanYi Zen Hei"/>
        <family val="2"/>
      </rPr>
      <t xml:space="preserve">실시간 보기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녹화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캡처가 이미 구현되어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</si>
  <si>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소비전력</t>
  </si>
  <si>
    <r>
      <rPr>
        <sz val="10"/>
        <rFont val="WenQuanYi Zen Hei"/>
        <family val="2"/>
      </rPr>
      <t xml:space="preserve">낮음 </t>
    </r>
    <r>
      <rPr>
        <sz val="10"/>
        <rFont val="맑은 고딕"/>
        <family val="0"/>
        <charset val="1"/>
      </rPr>
      <t xml:space="preserve">(IPC </t>
    </r>
    <r>
      <rPr>
        <sz val="10"/>
        <rFont val="WenQuanYi Zen Hei"/>
        <family val="2"/>
      </rPr>
      <t xml:space="preserve">전용 저전력 설계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</si>
  <si>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쿼드 </t>
    </r>
    <r>
      <rPr>
        <sz val="10"/>
        <rFont val="맑은 고딕"/>
        <family val="0"/>
        <charset val="1"/>
      </rPr>
      <t xml:space="preserve">A35 + GPU +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DDR)</t>
    </r>
  </si>
  <si>
    <r>
      <rPr>
        <sz val="9"/>
        <color rgb="FF404040"/>
        <rFont val="WenQuanYi Zen Hei"/>
        <family val="2"/>
      </rPr>
      <t xml:space="preserve">배터리로 구동하는 제품이면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안이 유리함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</si>
  <si>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합계 요약</t>
    </r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</si>
  <si>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</si>
  <si>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(RV1106G3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</si>
  <si>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t xml:space="preserve">카메라 모듈 미포함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</si>
  <si>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비컨제품</t>
    </r>
    <r>
      <rPr>
        <b val="true"/>
        <sz val="10"/>
        <rFont val="맑은 고딕"/>
        <family val="0"/>
        <charset val="1"/>
      </rPr>
      <t xml:space="preserve">, PX30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</si>
  <si>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차액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안 −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</si>
  <si>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더 비쌈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 대비 약 </t>
    </r>
    <r>
      <rPr>
        <sz val="9"/>
        <color rgb="FF404040"/>
        <rFont val="맑은 고딕"/>
        <family val="0"/>
        <charset val="1"/>
      </rPr>
      <t xml:space="preserve">1.9</t>
    </r>
    <r>
      <rPr>
        <sz val="9"/>
        <color rgb="FF404040"/>
        <rFont val="WenQuanYi Zen Hei"/>
        <family val="2"/>
      </rPr>
      <t xml:space="preserve">배</t>
    </r>
  </si>
  <si>
    <r>
      <rPr>
        <b val="true"/>
        <sz val="10"/>
        <color rgb="FF1F3864"/>
        <rFont val="WenQuanYi Zen Hei"/>
        <family val="2"/>
      </rPr>
      <t xml:space="preserve">결론</t>
    </r>
    <r>
      <rPr>
        <b val="true"/>
        <sz val="10"/>
        <color rgb="FF1F3864"/>
        <rFont val="맑은 고딕"/>
        <family val="0"/>
        <charset val="1"/>
      </rPr>
      <t xml:space="preserve">: </t>
    </r>
    <r>
      <rPr>
        <b val="true"/>
        <sz val="10"/>
        <color rgb="FF1F3864"/>
        <rFont val="WenQuanYi Zen Hei"/>
        <family val="2"/>
      </rPr>
      <t xml:space="preserve">동일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카메라 미포함</t>
    </r>
    <r>
      <rPr>
        <b val="true"/>
        <sz val="10"/>
        <color rgb="FF1F3864"/>
        <rFont val="맑은 고딕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39,000</t>
    </r>
    <r>
      <rPr>
        <b val="true"/>
        <sz val="10"/>
        <color rgb="FF1F3864"/>
        <rFont val="WenQuanYi Zen Hei"/>
        <family val="2"/>
      </rPr>
      <t xml:space="preserve">원 </t>
    </r>
    <r>
      <rPr>
        <b val="true"/>
        <sz val="10"/>
        <color rgb="FF1F3864"/>
        <rFont val="맑은 고딕"/>
        <family val="0"/>
        <charset val="1"/>
      </rPr>
      <t xml:space="preserve">vs 2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74,580</t>
    </r>
    <r>
      <rPr>
        <b val="true"/>
        <sz val="10"/>
        <color rgb="FF1F3864"/>
        <rFont val="WenQuanYi Zen Hei"/>
        <family val="2"/>
      </rPr>
      <t xml:space="preserve">원으로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안이 </t>
    </r>
    <r>
      <rPr>
        <b val="true"/>
        <sz val="10"/>
        <color rgb="FF1F3864"/>
        <rFont val="맑은 고딕"/>
        <family val="0"/>
        <charset val="1"/>
      </rPr>
      <t xml:space="preserve">35,580</t>
    </r>
    <r>
      <rPr>
        <b val="true"/>
        <sz val="10"/>
        <color rgb="FF1F3864"/>
        <rFont val="WenQuanYi Zen Hei"/>
        <family val="2"/>
      </rPr>
      <t xml:space="preserve">원 저렴합니다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격차의 대부분은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외부 </t>
    </r>
    <r>
      <rPr>
        <b val="true"/>
        <sz val="10"/>
        <color rgb="FF1F3864"/>
        <rFont val="맑은 고딕"/>
        <family val="0"/>
        <charset val="1"/>
      </rPr>
      <t xml:space="preserve">RAM 34,200</t>
    </r>
    <r>
      <rPr>
        <b val="true"/>
        <sz val="10"/>
        <color rgb="FF1F3864"/>
        <rFont val="WenQuanYi Zen Hei"/>
        <family val="2"/>
      </rPr>
      <t xml:space="preserve">원을 따로 달아야 하는 데서 나오며</t>
    </r>
    <r>
      <rPr>
        <b val="true"/>
        <sz val="10"/>
        <color rgb="FF1F3864"/>
        <rFont val="맑은 고딕"/>
        <family val="0"/>
        <charset val="1"/>
      </rPr>
      <t xml:space="preserve">, 1</t>
    </r>
    <r>
      <rPr>
        <b val="true"/>
        <sz val="10"/>
        <color rgb="FF1F3864"/>
        <rFont val="WenQuanYi Zen Hei"/>
        <family val="2"/>
      </rPr>
      <t xml:space="preserve">안은 이 배선이 없어 기판 면적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레이어까지 함께 줄어듭니다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기능 면에서도 </t>
    </r>
    <r>
      <rPr>
        <b val="true"/>
        <sz val="10"/>
        <color rgb="FF1F3864"/>
        <rFont val="맑은 고딕"/>
        <family val="0"/>
        <charset val="1"/>
      </rPr>
      <t xml:space="preserve">H.265 </t>
    </r>
    <r>
      <rPr>
        <b val="true"/>
        <sz val="10"/>
        <color rgb="FF1F3864"/>
        <rFont val="WenQuanYi Zen Hei"/>
        <family val="2"/>
      </rPr>
      <t xml:space="preserve">인코딩과 </t>
    </r>
    <r>
      <rPr>
        <b val="true"/>
        <sz val="10"/>
        <color rgb="FF1F3864"/>
        <rFont val="맑은 고딕"/>
        <family val="0"/>
        <charset val="1"/>
      </rPr>
      <t xml:space="preserve">1 TOPS NPU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안에만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다만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안의 </t>
    </r>
    <r>
      <rPr>
        <b val="true"/>
        <sz val="10"/>
        <color rgb="FF1F3864"/>
        <rFont val="맑은 고딕"/>
        <family val="0"/>
        <charset val="1"/>
      </rPr>
      <t xml:space="preserve">GW3 64MP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PX30</t>
    </r>
    <r>
      <rPr>
        <b val="true"/>
        <sz val="10"/>
        <color rgb="FF1F3864"/>
        <rFont val="WenQuanYi Zen Hei"/>
        <family val="2"/>
      </rPr>
      <t xml:space="preserve">의 </t>
    </r>
    <r>
      <rPr>
        <b val="true"/>
        <sz val="10"/>
        <color rgb="FF1F3864"/>
        <rFont val="맑은 고딕"/>
        <family val="0"/>
        <charset val="1"/>
      </rPr>
      <t xml:space="preserve">ISP </t>
    </r>
    <r>
      <rPr>
        <b val="true"/>
        <sz val="10"/>
        <color rgb="FF1F3864"/>
        <rFont val="WenQuanYi Zen Hei"/>
        <family val="2"/>
      </rPr>
      <t xml:space="preserve">상한</t>
    </r>
    <r>
      <rPr>
        <b val="true"/>
        <sz val="10"/>
        <color rgb="FF1F3864"/>
        <rFont val="맑은 고딕"/>
        <family val="0"/>
        <charset val="1"/>
      </rPr>
      <t xml:space="preserve">(8MP)</t>
    </r>
    <r>
      <rPr>
        <b val="true"/>
        <sz val="10"/>
        <color rgb="FF1F3864"/>
        <rFont val="WenQuanYi Zen Hei"/>
        <family val="2"/>
      </rPr>
      <t xml:space="preserve">에 막혀 실제 스트리밍은 </t>
    </r>
    <r>
      <rPr>
        <b val="true"/>
        <sz val="10"/>
        <color rgb="FF1F3864"/>
        <rFont val="맑은 고딕"/>
        <family val="0"/>
        <charset val="1"/>
      </rPr>
      <t xml:space="preserve">1080p</t>
    </r>
    <r>
      <rPr>
        <b val="true"/>
        <sz val="10"/>
        <color rgb="FF1F3864"/>
        <rFont val="WenQuanYi Zen Hei"/>
        <family val="2"/>
      </rPr>
      <t xml:space="preserve">이고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접사 조건에서 해상력 차이도 약 </t>
    </r>
    <r>
      <rPr>
        <b val="true"/>
        <sz val="10"/>
        <color rgb="FF1F3864"/>
        <rFont val="맑은 고딕"/>
        <family val="0"/>
        <charset val="1"/>
      </rPr>
      <t xml:space="preserve">10%</t>
    </r>
    <r>
      <rPr>
        <b val="true"/>
        <sz val="10"/>
        <color rgb="FF1F3864"/>
        <rFont val="WenQuanYi Zen Hei"/>
        <family val="2"/>
      </rPr>
      <t xml:space="preserve">에 그칩니다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범용 연산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화면 출력이 필요하면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유리합니다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</si>
  <si>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카메라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접사렌즈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해상도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표시 배율 정리   </t>
    </r>
    <r>
      <rPr>
        <b val="true"/>
        <sz val="14"/>
        <color rgb="FF1F3864"/>
        <rFont val="맑은 고딕"/>
        <family val="0"/>
        <charset val="1"/>
      </rPr>
      <t xml:space="preserve">|   1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SC3336  vs  2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ISOCELL GW3 (S5KGW3)</t>
    </r>
  </si>
  <si>
    <r>
      <rPr>
        <i val="true"/>
        <sz val="9"/>
        <color rgb="FF7F7F7F"/>
        <rFont val="WenQuanYi Zen Hei"/>
        <family val="2"/>
      </rPr>
      <t xml:space="preserve">노란 칸은 입력값입니다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값을 바꾸면 아래 센서 폭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배율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해상력이 모두 다시 계산됩니다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광학 계산 근거</t>
    </r>
    <r>
      <rPr>
        <i val="true"/>
        <sz val="9"/>
        <color rgb="FF7F7F7F"/>
        <rFont val="맑은 고딕"/>
        <family val="0"/>
        <charset val="1"/>
      </rPr>
      <t xml:space="preserve">: docs/scalp-scope.md</t>
    </r>
  </si>
  <si>
    <r>
      <rPr>
        <b val="true"/>
        <sz val="12"/>
        <color rgb="FF1F3864"/>
        <rFont val="맑은 고딕"/>
        <family val="0"/>
        <charset val="1"/>
      </rPr>
      <t xml:space="preserve">■ 0. </t>
    </r>
    <r>
      <rPr>
        <b val="true"/>
        <sz val="12"/>
        <color rgb="FF1F3864"/>
        <rFont val="WenQuanYi Zen Hei"/>
        <family val="2"/>
      </rPr>
      <t xml:space="preserve">기준값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노란 칸 </t>
    </r>
    <r>
      <rPr>
        <b val="true"/>
        <sz val="12"/>
        <color rgb="FF1F3864"/>
        <rFont val="맑은 고딕"/>
        <family val="0"/>
        <charset val="1"/>
      </rPr>
      <t xml:space="preserve">= </t>
    </r>
    <r>
      <rPr>
        <b val="true"/>
        <sz val="12"/>
        <color rgb="FF1F3864"/>
        <rFont val="WenQuanYi Zen Hei"/>
        <family val="2"/>
      </rPr>
      <t xml:space="preserve">입력</t>
    </r>
    <r>
      <rPr>
        <b val="true"/>
        <sz val="12"/>
        <color rgb="FF1F3864"/>
        <rFont val="맑은 고딕"/>
        <family val="0"/>
        <charset val="1"/>
      </rPr>
      <t xml:space="preserve">, </t>
    </r>
    <r>
      <rPr>
        <b val="true"/>
        <sz val="12"/>
        <color rgb="FF1F3864"/>
        <rFont val="WenQuanYi Zen Hei"/>
        <family val="2"/>
      </rPr>
      <t xml:space="preserve">회색 칸 </t>
    </r>
    <r>
      <rPr>
        <b val="true"/>
        <sz val="12"/>
        <color rgb="FF1F3864"/>
        <rFont val="맑은 고딕"/>
        <family val="0"/>
        <charset val="1"/>
      </rPr>
      <t xml:space="preserve">= </t>
    </r>
    <r>
      <rPr>
        <b val="true"/>
        <sz val="12"/>
        <color rgb="FF1F3864"/>
        <rFont val="WenQuanYi Zen Hei"/>
        <family val="2"/>
      </rPr>
      <t xml:space="preserve">계산값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</si>
  <si>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가로 픽셀</t>
    </r>
  </si>
  <si>
    <t xml:space="preserve">px</t>
  </si>
  <si>
    <t xml:space="preserve">SC3336 — 2304×1296 (3MP)</t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</si>
  <si>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픽셀 피치</t>
    </r>
  </si>
  <si>
    <t xml:space="preserve">μm</t>
  </si>
  <si>
    <r>
      <rPr>
        <sz val="9"/>
        <color rgb="FF404040"/>
        <rFont val="맑은 고딕"/>
        <family val="0"/>
        <charset val="1"/>
      </rPr>
      <t xml:space="preserve">1/2.8" </t>
    </r>
    <r>
      <rPr>
        <sz val="9"/>
        <color rgb="FF404040"/>
        <rFont val="WenQuanYi Zen Hei"/>
        <family val="2"/>
      </rPr>
      <t xml:space="preserve">규격에서 역산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</si>
  <si>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가로 픽셀</t>
    </r>
  </si>
  <si>
    <t xml:space="preserve">ISOCELL GW3 — 9248×6936 (64MP)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</si>
  <si>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픽셀 피치</t>
    </r>
  </si>
  <si>
    <r>
      <rPr>
        <sz val="9"/>
        <color rgb="FF404040"/>
        <rFont val="맑은 고딕"/>
        <family val="0"/>
        <charset val="1"/>
      </rPr>
      <t xml:space="preserve">GW3 </t>
    </r>
    <r>
      <rPr>
        <sz val="9"/>
        <color rgb="FF404040"/>
        <rFont val="WenQuanYi Zen Hei"/>
        <family val="2"/>
      </rPr>
      <t xml:space="preserve">공식 제원 </t>
    </r>
    <r>
      <rPr>
        <sz val="9"/>
        <color rgb="FF404040"/>
        <rFont val="맑은 고딕"/>
        <family val="0"/>
        <charset val="1"/>
      </rPr>
      <t xml:space="preserve">(Tetracell 4:1 </t>
    </r>
    <r>
      <rPr>
        <sz val="9"/>
        <color rgb="FF404040"/>
        <rFont val="WenQuanYi Zen Hei"/>
        <family val="2"/>
      </rPr>
      <t xml:space="preserve">비닝 시 </t>
    </r>
    <r>
      <rPr>
        <sz val="9"/>
        <color rgb="FF404040"/>
        <rFont val="맑은 고딕"/>
        <family val="0"/>
        <charset val="1"/>
      </rPr>
      <t xml:space="preserve">1.4μm)</t>
    </r>
  </si>
  <si>
    <r>
      <rPr>
        <b val="true"/>
        <sz val="10"/>
        <rFont val="WenQuanYi Zen Hei"/>
        <family val="2"/>
      </rPr>
      <t xml:space="preserve">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</t>
    </r>
  </si>
  <si>
    <r>
      <rPr>
        <sz val="9"/>
        <color rgb="FF404040"/>
        <rFont val="맑은 고딕"/>
        <family val="0"/>
        <charset val="1"/>
      </rPr>
      <t xml:space="preserve">SC3336 </t>
    </r>
    <r>
      <rPr>
        <sz val="9"/>
        <color rgb="FF404040"/>
        <rFont val="WenQuanYi Zen Hei"/>
        <family val="2"/>
      </rPr>
      <t xml:space="preserve">모듈 기본 </t>
    </r>
    <r>
      <rPr>
        <sz val="9"/>
        <color rgb="FF404040"/>
        <rFont val="맑은 고딕"/>
        <family val="0"/>
        <charset val="1"/>
      </rPr>
      <t xml:space="preserve">F2.0 — </t>
    </r>
    <r>
      <rPr>
        <sz val="9"/>
        <color rgb="FF404040"/>
        <rFont val="WenQuanYi Zen Hei"/>
        <family val="2"/>
      </rPr>
      <t xml:space="preserve">양쪽 동일 조건으로 비교</t>
    </r>
  </si>
  <si>
    <r>
      <rPr>
        <b val="true"/>
        <sz val="10"/>
        <rFont val="WenQuanYi Zen Hei"/>
        <family val="2"/>
      </rPr>
      <t xml:space="preserve">빛 파장 </t>
    </r>
    <r>
      <rPr>
        <b val="true"/>
        <sz val="10"/>
        <rFont val="맑은 고딕"/>
        <family val="0"/>
        <charset val="1"/>
      </rPr>
      <t xml:space="preserve">λ</t>
    </r>
  </si>
  <si>
    <r>
      <rPr>
        <sz val="9"/>
        <color rgb="FF404040"/>
        <rFont val="WenQuanYi Zen Hei"/>
        <family val="2"/>
      </rPr>
      <t xml:space="preserve">가시광 중심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녹색</t>
    </r>
    <r>
      <rPr>
        <sz val="9"/>
        <color rgb="FF40404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</si>
  <si>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인치 폰 가로 폭</t>
    </r>
  </si>
  <si>
    <t xml:space="preserve">mm</t>
  </si>
  <si>
    <r>
      <rPr>
        <sz val="9"/>
        <color rgb="FF404040"/>
        <rFont val="맑은 고딕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인치 </t>
    </r>
    <r>
      <rPr>
        <sz val="9"/>
        <color rgb="FF404040"/>
        <rFont val="맑은 고딕"/>
        <family val="0"/>
        <charset val="1"/>
      </rPr>
      <t xml:space="preserve">16:9 </t>
    </r>
    <r>
      <rPr>
        <sz val="9"/>
        <color rgb="FF404040"/>
        <rFont val="WenQuanYi Zen Hei"/>
        <family val="2"/>
      </rPr>
      <t xml:space="preserve">가로 방향</t>
    </r>
  </si>
  <si>
    <r>
      <rPr>
        <b val="true"/>
        <sz val="10"/>
        <rFont val="맑은 고딕"/>
        <family val="0"/>
        <charset val="1"/>
      </rPr>
      <t xml:space="preserve">24</t>
    </r>
    <r>
      <rPr>
        <b val="true"/>
        <sz val="10"/>
        <rFont val="WenQuanYi Zen Hei"/>
        <family val="2"/>
      </rPr>
      <t xml:space="preserve">인치 모니터 폭</t>
    </r>
  </si>
  <si>
    <r>
      <rPr>
        <sz val="9"/>
        <color rgb="FF404040"/>
        <rFont val="맑은 고딕"/>
        <family val="0"/>
        <charset val="1"/>
      </rPr>
      <t xml:space="preserve">24</t>
    </r>
    <r>
      <rPr>
        <sz val="9"/>
        <color rgb="FF404040"/>
        <rFont val="WenQuanYi Zen Hei"/>
        <family val="2"/>
      </rPr>
      <t xml:space="preserve">인치 </t>
    </r>
    <r>
      <rPr>
        <sz val="9"/>
        <color rgb="FF404040"/>
        <rFont val="맑은 고딕"/>
        <family val="0"/>
        <charset val="1"/>
      </rPr>
      <t xml:space="preserve">16:9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</si>
  <si>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센서 유효 폭</t>
    </r>
  </si>
  <si>
    <r>
      <rPr>
        <sz val="9"/>
        <color rgb="FF404040"/>
        <rFont val="WenQuanYi Zen Hei"/>
        <family val="2"/>
      </rPr>
      <t xml:space="preserve">가로 픽셀 </t>
    </r>
    <r>
      <rPr>
        <sz val="9"/>
        <color rgb="FF404040"/>
        <rFont val="맑은 고딕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픽셀 피치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</si>
  <si>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센서 유효 폭</t>
    </r>
  </si>
  <si>
    <r>
      <rPr>
        <sz val="9"/>
        <color rgb="FF404040"/>
        <rFont val="WenQuanYi Zen Hei"/>
        <family val="2"/>
      </rPr>
      <t xml:space="preserve">가로 픽셀 </t>
    </r>
    <r>
      <rPr>
        <sz val="9"/>
        <color rgb="FF404040"/>
        <rFont val="맑은 고딕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픽셀 피치 — 대각 약 </t>
    </r>
    <r>
      <rPr>
        <sz val="9"/>
        <color rgb="FF404040"/>
        <rFont val="맑은 고딕"/>
        <family val="0"/>
        <charset val="1"/>
      </rPr>
      <t xml:space="preserve">8.1mm</t>
    </r>
    <r>
      <rPr>
        <sz val="9"/>
        <color rgb="FF404040"/>
        <rFont val="WenQuanYi Zen Hei"/>
        <family val="2"/>
      </rPr>
      <t xml:space="preserve">로 </t>
    </r>
    <r>
      <rPr>
        <sz val="9"/>
        <color rgb="FF404040"/>
        <rFont val="맑은 고딕"/>
        <family val="0"/>
        <charset val="1"/>
      </rPr>
      <t xml:space="preserve">1/1.97" </t>
    </r>
    <r>
      <rPr>
        <sz val="9"/>
        <color rgb="FF404040"/>
        <rFont val="WenQuanYi Zen Hei"/>
        <family val="2"/>
      </rPr>
      <t xml:space="preserve">표기와 일치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</si>
  <si>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센서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카메라 사양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</si>
  <si>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SC3336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</si>
  <si>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ISOCELL GW3</t>
    </r>
  </si>
  <si>
    <r>
      <rPr>
        <b val="true"/>
        <sz val="10"/>
        <rFont val="WenQuanYi Zen Hei"/>
        <family val="2"/>
      </rPr>
      <t xml:space="preserve">제조사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모델</t>
    </r>
  </si>
  <si>
    <t xml:space="preserve">SmartSens SC3336</t>
  </si>
  <si>
    <t xml:space="preserve">Samsung ISOCELL GW3 (S5KGW3)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</si>
  <si>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감시</t>
    </r>
    <r>
      <rPr>
        <sz val="9"/>
        <color rgb="FF404040"/>
        <rFont val="맑은 고딕"/>
        <family val="0"/>
        <charset val="1"/>
      </rPr>
      <t xml:space="preserve">·IPC</t>
    </r>
    <r>
      <rPr>
        <sz val="9"/>
        <color rgb="FF404040"/>
        <rFont val="WenQuanYi Zen Hei"/>
        <family val="2"/>
      </rPr>
      <t xml:space="preserve">용 센서</t>
    </r>
    <r>
      <rPr>
        <sz val="9"/>
        <color rgb="FF404040"/>
        <rFont val="맑은 고딕"/>
        <family val="0"/>
        <charset val="1"/>
      </rPr>
      <t xml:space="preserve">, 2</t>
    </r>
    <r>
      <rPr>
        <sz val="9"/>
        <color rgb="FF404040"/>
        <rFont val="WenQuanYi Zen Hei"/>
        <family val="2"/>
      </rPr>
      <t xml:space="preserve">안은 스마트폰용 센서로 설계 목적이 다름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</si>
  <si>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해상도</t>
  </si>
  <si>
    <t xml:space="preserve">3MP — 2304×1296</t>
  </si>
  <si>
    <t xml:space="preserve">64MP — 9248×6936</t>
  </si>
  <si>
    <r>
      <rPr>
        <sz val="9"/>
        <color rgb="FF404040"/>
        <rFont val="WenQuanYi Zen Hei"/>
        <family val="2"/>
      </rPr>
      <t xml:space="preserve">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선형 </t>
    </r>
    <r>
      <rPr>
        <sz val="9"/>
        <color rgb="FF404040"/>
        <rFont val="맑은 고딕"/>
        <family val="0"/>
        <charset val="1"/>
      </rPr>
      <t xml:space="preserve">4.6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차이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</si>
  <si>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광학 포맷</t>
  </si>
  <si>
    <r>
      <rPr>
        <sz val="10"/>
        <rFont val="맑은 고딕"/>
        <family val="0"/>
        <charset val="1"/>
      </rPr>
      <t xml:space="preserve">1/2.8" (</t>
    </r>
    <r>
      <rPr>
        <sz val="10"/>
        <rFont val="WenQuanYi Zen Hei"/>
        <family val="2"/>
      </rPr>
      <t xml:space="preserve">유효 폭 약 </t>
    </r>
    <r>
      <rPr>
        <sz val="10"/>
        <rFont val="맑은 고딕"/>
        <family val="0"/>
        <charset val="1"/>
      </rPr>
      <t xml:space="preserve">5.07mm)</t>
    </r>
  </si>
  <si>
    <r>
      <rPr>
        <sz val="10"/>
        <rFont val="맑은 고딕"/>
        <family val="0"/>
        <charset val="1"/>
      </rPr>
      <t xml:space="preserve">1/1.97" (</t>
    </r>
    <r>
      <rPr>
        <sz val="10"/>
        <rFont val="WenQuanYi Zen Hei"/>
        <family val="2"/>
      </rPr>
      <t xml:space="preserve">유효 폭 약 </t>
    </r>
    <r>
      <rPr>
        <sz val="10"/>
        <rFont val="맑은 고딕"/>
        <family val="0"/>
        <charset val="1"/>
      </rPr>
      <t xml:space="preserve">6.47mm)</t>
    </r>
  </si>
  <si>
    <r>
      <rPr>
        <sz val="9"/>
        <color rgb="FF404040"/>
        <rFont val="WenQuanYi Zen Hei"/>
        <family val="2"/>
      </rPr>
      <t xml:space="preserve">센서가 크면 같은 시야를 담는 데 더 높은 광학 배율이 필요해 접사가 오히려 까다로워짐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</si>
  <si>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픽셀 피치</t>
  </si>
  <si>
    <t xml:space="preserve">2.2μm</t>
  </si>
  <si>
    <r>
      <rPr>
        <sz val="10"/>
        <rFont val="맑은 고딕"/>
        <family val="0"/>
        <charset val="1"/>
      </rPr>
      <t xml:space="preserve">0.7μm (Tetracell 4:1 </t>
    </r>
    <r>
      <rPr>
        <sz val="10"/>
        <rFont val="WenQuanYi Zen Hei"/>
        <family val="2"/>
      </rPr>
      <t xml:space="preserve">비닝 시 </t>
    </r>
    <r>
      <rPr>
        <sz val="10"/>
        <rFont val="맑은 고딕"/>
        <family val="0"/>
        <charset val="1"/>
      </rPr>
      <t xml:space="preserve">1.4μm)</t>
    </r>
  </si>
  <si>
    <r>
      <rPr>
        <sz val="9"/>
        <color rgb="FF404040"/>
        <rFont val="맑은 고딕"/>
        <family val="0"/>
        <charset val="1"/>
      </rPr>
      <t xml:space="preserve">★ GW3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0.8μm</t>
    </r>
    <r>
      <rPr>
        <sz val="9"/>
        <color rgb="FF404040"/>
        <rFont val="WenQuanYi Zen Hei"/>
        <family val="2"/>
      </rPr>
      <t xml:space="preserve">급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센서보다도 픽셀이 작음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픽셀이 작을수록 감도가 낮은데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접사는 빛이 급격히 부족해지는 조건이라 불리하게 작용함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</si>
  <si>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저조도 동작</t>
  </si>
  <si>
    <r>
      <rPr>
        <sz val="10"/>
        <rFont val="맑은 고딕"/>
        <family val="0"/>
        <charset val="1"/>
      </rPr>
      <t xml:space="preserve">2304×1296 </t>
    </r>
    <r>
      <rPr>
        <sz val="10"/>
        <rFont val="WenQuanYi Zen Hei"/>
        <family val="2"/>
      </rPr>
      <t xml:space="preserve">전체 화소 그대로</t>
    </r>
  </si>
  <si>
    <r>
      <rPr>
        <sz val="10"/>
        <rFont val="맑은 고딕"/>
        <family val="0"/>
        <charset val="1"/>
      </rPr>
      <t xml:space="preserve">Tetracell 4:1 </t>
    </r>
    <r>
      <rPr>
        <sz val="10"/>
        <rFont val="WenQuanYi Zen Hei"/>
        <family val="2"/>
      </rPr>
      <t xml:space="preserve">비닝 → </t>
    </r>
    <r>
      <rPr>
        <sz val="10"/>
        <rFont val="맑은 고딕"/>
        <family val="0"/>
        <charset val="1"/>
      </rPr>
      <t xml:space="preserve">16MP (</t>
    </r>
    <r>
      <rPr>
        <sz val="10"/>
        <rFont val="WenQuanYi Zen Hei"/>
        <family val="2"/>
      </rPr>
      <t xml:space="preserve">유효 </t>
    </r>
    <r>
      <rPr>
        <sz val="10"/>
        <rFont val="맑은 고딕"/>
        <family val="0"/>
        <charset val="1"/>
      </rPr>
      <t xml:space="preserve">1.4μm)</t>
    </r>
  </si>
  <si>
    <r>
      <rPr>
        <sz val="9"/>
        <color rgb="FF404040"/>
        <rFont val="WenQuanYi Zen Hei"/>
        <family val="2"/>
      </rPr>
      <t xml:space="preserve">접사는 사실상 항상 저조도 조건이므로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안은 실질적으로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로 동작함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</si>
  <si>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최대 프레임</t>
  </si>
  <si>
    <r>
      <rPr>
        <sz val="10"/>
        <rFont val="맑은 고딕"/>
        <family val="0"/>
        <charset val="1"/>
      </rPr>
      <t xml:space="preserve">30fps @ 3MP </t>
    </r>
    <r>
      <rPr>
        <sz val="10"/>
        <rFont val="WenQuanYi Zen Hei"/>
        <family val="2"/>
      </rPr>
      <t xml:space="preserve">전체 화소</t>
    </r>
  </si>
  <si>
    <r>
      <rPr>
        <sz val="10"/>
        <rFont val="맑은 고딕"/>
        <family val="0"/>
        <charset val="1"/>
      </rPr>
      <t xml:space="preserve">64MP</t>
    </r>
    <r>
      <rPr>
        <sz val="10"/>
        <rFont val="WenQuanYi Zen Hei"/>
        <family val="2"/>
      </rPr>
      <t xml:space="preserve">는 정지컷 중심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동영상은 </t>
    </r>
    <r>
      <rPr>
        <sz val="10"/>
        <rFont val="맑은 고딕"/>
        <family val="0"/>
        <charset val="1"/>
      </rPr>
      <t xml:space="preserve">4K</t>
    </r>
    <r>
      <rPr>
        <sz val="10"/>
        <rFont val="WenQuanYi Zen Hei"/>
        <family val="2"/>
      </rPr>
      <t xml:space="preserve">급</t>
    </r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</si>
  <si>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는 물론 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도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</si>
  <si>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렌즈 마운트</t>
  </si>
  <si>
    <r>
      <rPr>
        <sz val="10"/>
        <rFont val="맑은 고딕"/>
        <family val="0"/>
        <charset val="1"/>
      </rPr>
      <t xml:space="preserve">M12 (S</t>
    </r>
    <r>
      <rPr>
        <sz val="10"/>
        <rFont val="WenQuanYi Zen Hei"/>
        <family val="2"/>
      </rPr>
      <t xml:space="preserve">마운트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교체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연장 가능</t>
    </r>
  </si>
  <si>
    <t xml:space="preserve">스마트폰형 고정 렌즈 모듈 — 확인 필요</t>
  </si>
  <si>
    <r>
      <rPr>
        <sz val="9"/>
        <color rgb="FF404040"/>
        <rFont val="WenQuanYi Zen Hei"/>
        <family val="2"/>
      </rPr>
      <t xml:space="preserve">★ 접사 개조의 핵심</t>
    </r>
    <r>
      <rPr>
        <sz val="9"/>
        <color rgb="FF404040"/>
        <rFont val="맑은 고딕"/>
        <family val="0"/>
        <charset val="1"/>
      </rPr>
      <t xml:space="preserve">. M12</t>
    </r>
    <r>
      <rPr>
        <sz val="9"/>
        <color rgb="FF404040"/>
        <rFont val="WenQuanYi Zen Hei"/>
        <family val="2"/>
      </rPr>
      <t xml:space="preserve">는 렌즈를 풀어 배율을 올리고 익스텐션 링을 끼울 수 있음</t>
    </r>
    <r>
      <rPr>
        <sz val="9"/>
        <color rgb="FF404040"/>
        <rFont val="맑은 고딕"/>
        <family val="0"/>
        <charset val="1"/>
      </rPr>
      <t xml:space="preserve">. GW3</t>
    </r>
    <r>
      <rPr>
        <sz val="9"/>
        <color rgb="FF404040"/>
        <rFont val="WenQuanYi Zen Hei"/>
        <family val="2"/>
      </rPr>
      <t xml:space="preserve">는 통상 봉인된 고정초점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또는 </t>
    </r>
    <r>
      <rPr>
        <sz val="9"/>
        <color rgb="FF404040"/>
        <rFont val="맑은 고딕"/>
        <family val="0"/>
        <charset val="1"/>
      </rPr>
      <t xml:space="preserve">AF) </t>
    </r>
    <r>
      <rPr>
        <sz val="9"/>
        <color rgb="FF404040"/>
        <rFont val="WenQuanYi Zen Hei"/>
        <family val="2"/>
      </rPr>
      <t xml:space="preserve">모듈로 공급되어 렌즈를 빼낼 수 없으므로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접사 구성이 가능한 형태인지 반드시 확인해야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</si>
  <si>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실사용 출력</t>
  </si>
  <si>
    <r>
      <rPr>
        <sz val="10"/>
        <rFont val="맑은 고딕"/>
        <family val="0"/>
        <charset val="1"/>
      </rPr>
      <t xml:space="preserve">2304×1296 </t>
    </r>
    <r>
      <rPr>
        <sz val="10"/>
        <rFont val="WenQuanYi Zen Hei"/>
        <family val="2"/>
      </rPr>
      <t xml:space="preserve">그대로</t>
    </r>
  </si>
  <si>
    <r>
      <rPr>
        <sz val="10"/>
        <rFont val="WenQuanYi Zen Hei"/>
        <family val="2"/>
      </rPr>
      <t xml:space="preserve">비닝 </t>
    </r>
    <r>
      <rPr>
        <sz val="10"/>
        <rFont val="맑은 고딕"/>
        <family val="0"/>
        <charset val="1"/>
      </rPr>
      <t xml:space="preserve">16MP → PX30 ISP 8MP → </t>
    </r>
    <r>
      <rPr>
        <sz val="10"/>
        <rFont val="WenQuanYi Zen Hei"/>
        <family val="2"/>
      </rPr>
      <t xml:space="preserve">스트리밍 </t>
    </r>
    <r>
      <rPr>
        <sz val="10"/>
        <rFont val="맑은 고딕"/>
        <family val="0"/>
        <charset val="1"/>
      </rPr>
      <t xml:space="preserve">1080p</t>
    </r>
  </si>
  <si>
    <r>
      <rPr>
        <sz val="9"/>
        <color rgb="FF404040"/>
        <rFont val="WenQuanYi Zen Hei"/>
        <family val="2"/>
      </rPr>
      <t xml:space="preserve">카탈로그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와 실제 스트리밍 화소는 </t>
    </r>
    <r>
      <rPr>
        <sz val="9"/>
        <color rgb="FF404040"/>
        <rFont val="맑은 고딕"/>
        <family val="0"/>
        <charset val="1"/>
      </rPr>
      <t xml:space="preserve">32</t>
    </r>
    <r>
      <rPr>
        <sz val="9"/>
        <color rgb="FF404040"/>
        <rFont val="WenQuanYi Zen Hei"/>
        <family val="2"/>
      </rPr>
      <t xml:space="preserve">배 차이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</si>
  <si>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접사 렌즈 — </t>
    </r>
    <r>
      <rPr>
        <b val="true"/>
        <sz val="12"/>
        <color rgb="FF1F3864"/>
        <rFont val="맑은 고딕"/>
        <family val="0"/>
        <charset val="1"/>
      </rPr>
      <t xml:space="preserve">1</t>
    </r>
    <r>
      <rPr>
        <b val="true"/>
        <sz val="12"/>
        <color rgb="FF1F3864"/>
        <rFont val="WenQuanYi Zen Hei"/>
        <family val="2"/>
      </rPr>
      <t xml:space="preserve">안 기준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시야 폭 </t>
    </r>
    <r>
      <rPr>
        <b val="true"/>
        <sz val="12"/>
        <color rgb="FF1F3864"/>
        <rFont val="맑은 고딕"/>
        <family val="0"/>
        <charset val="1"/>
      </rPr>
      <t xml:space="preserve">2.5mm </t>
    </r>
    <r>
      <rPr>
        <b val="true"/>
        <sz val="12"/>
        <color rgb="FF1F3864"/>
        <rFont val="WenQuanYi Zen Hei"/>
        <family val="2"/>
      </rPr>
      <t xml:space="preserve">목표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</si>
  <si>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초점거리</t>
  </si>
  <si>
    <t xml:space="preserve">카탈로그
화각</t>
  </si>
  <si>
    <t xml:space="preserve">빼야 할
거리</t>
  </si>
  <si>
    <t xml:space="preserve">나사
회전 수</t>
  </si>
  <si>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~</t>
    </r>
    <r>
      <rPr>
        <b val="true"/>
        <sz val="10"/>
        <color rgb="FFFFFFFF"/>
        <rFont val="WenQuanYi Zen Hei"/>
        <family val="2"/>
      </rPr>
      <t xml:space="preserve">두피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작동거리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</si>
  <si>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권장</t>
  </si>
  <si>
    <t xml:space="preserve">2.2mm</t>
  </si>
  <si>
    <t xml:space="preserve">100°</t>
  </si>
  <si>
    <t xml:space="preserve">4.0mm</t>
  </si>
  <si>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바퀴</t>
    </r>
  </si>
  <si>
    <t xml:space="preserve">3.4mm</t>
  </si>
  <si>
    <t xml:space="preserve">사용 불가</t>
  </si>
  <si>
    <r>
      <rPr>
        <sz val="9"/>
        <color rgb="FF404040"/>
        <rFont val="WenQuanYi Zen Hei"/>
        <family val="2"/>
      </rPr>
      <t xml:space="preserve">두피에 닿아 조명이 들어가지 않음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</si>
  <si>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4mm</t>
  </si>
  <si>
    <t xml:space="preserve">67°</t>
  </si>
  <si>
    <t xml:space="preserve">7.4mm</t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</si>
  <si>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바퀴</t>
    </r>
  </si>
  <si>
    <t xml:space="preserve">6.2mm</t>
  </si>
  <si>
    <t xml:space="preserve">빠듯함</t>
  </si>
  <si>
    <r>
      <rPr>
        <sz val="9"/>
        <color rgb="FF404040"/>
        <rFont val="WenQuanYi Zen Hei"/>
        <family val="2"/>
      </rPr>
      <t xml:space="preserve">작동거리가 짧아 </t>
    </r>
    <r>
      <rPr>
        <sz val="9"/>
        <color rgb="FF404040"/>
        <rFont val="맑은 고딕"/>
        <family val="0"/>
        <charset val="1"/>
      </rPr>
      <t xml:space="preserve">LED </t>
    </r>
    <r>
      <rPr>
        <sz val="9"/>
        <color rgb="FF404040"/>
        <rFont val="WenQuanYi Zen Hei"/>
        <family val="2"/>
      </rPr>
      <t xml:space="preserve">링 넣기 어려움</t>
    </r>
    <r>
      <rPr>
        <sz val="9"/>
        <color rgb="FF404040"/>
        <rFont val="맑은 고딕"/>
        <family val="0"/>
        <charset val="1"/>
      </rPr>
      <t xml:space="preserve">.</t>
    </r>
  </si>
  <si>
    <t xml:space="preserve">6mm</t>
  </si>
  <si>
    <t xml:space="preserve">48°</t>
  </si>
  <si>
    <t xml:space="preserve">11mm</t>
  </si>
  <si>
    <r>
      <rPr>
        <sz val="10"/>
        <rFont val="맑은 고딕"/>
        <family val="0"/>
        <charset val="1"/>
      </rPr>
      <t xml:space="preserve">22</t>
    </r>
    <r>
      <rPr>
        <sz val="10"/>
        <rFont val="WenQuanYi Zen Hei"/>
        <family val="2"/>
      </rPr>
      <t xml:space="preserve">바퀴</t>
    </r>
  </si>
  <si>
    <t xml:space="preserve">9.3mm</t>
  </si>
  <si>
    <t xml:space="preserve">가능</t>
  </si>
  <si>
    <t xml:space="preserve">8mm</t>
  </si>
  <si>
    <t xml:space="preserve">37°</t>
  </si>
  <si>
    <t xml:space="preserve">15mm</t>
  </si>
  <si>
    <r>
      <rPr>
        <sz val="10"/>
        <rFont val="맑은 고딕"/>
        <family val="0"/>
        <charset val="1"/>
      </rPr>
      <t xml:space="preserve">29</t>
    </r>
    <r>
      <rPr>
        <sz val="10"/>
        <rFont val="WenQuanYi Zen Hei"/>
        <family val="2"/>
      </rPr>
      <t xml:space="preserve">바퀴</t>
    </r>
  </si>
  <si>
    <t xml:space="preserve">12mm</t>
  </si>
  <si>
    <t xml:space="preserve">★ 권장</t>
  </si>
  <si>
    <r>
      <rPr>
        <sz val="9"/>
        <color rgb="FF404040"/>
        <rFont val="맑은 고딕"/>
        <family val="0"/>
        <charset val="1"/>
      </rPr>
      <t xml:space="preserve">LED </t>
    </r>
    <r>
      <rPr>
        <sz val="9"/>
        <color rgb="FF404040"/>
        <rFont val="WenQuanYi Zen Hei"/>
        <family val="2"/>
      </rPr>
      <t xml:space="preserve">링과 경통을 넣을 공간이 확보됨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</si>
  <si>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25°</t>
  </si>
  <si>
    <t xml:space="preserve">22mm</t>
  </si>
  <si>
    <r>
      <rPr>
        <sz val="10"/>
        <rFont val="맑은 고딕"/>
        <family val="0"/>
        <charset val="1"/>
      </rPr>
      <t xml:space="preserve">44</t>
    </r>
    <r>
      <rPr>
        <sz val="10"/>
        <rFont val="WenQuanYi Zen Hei"/>
        <family val="2"/>
      </rPr>
      <t xml:space="preserve">바퀴</t>
    </r>
  </si>
  <si>
    <t xml:space="preserve">19mm</t>
  </si>
  <si>
    <r>
      <rPr>
        <sz val="9"/>
        <color rgb="FF404040"/>
        <rFont val="WenQuanYi Zen Hei"/>
        <family val="2"/>
      </rPr>
      <t xml:space="preserve">작동거리가 가장 넉넉함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</si>
  <si>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16mm</t>
  </si>
  <si>
    <t xml:space="preserve">19°</t>
  </si>
  <si>
    <t xml:space="preserve">29mm</t>
  </si>
  <si>
    <r>
      <rPr>
        <sz val="10"/>
        <rFont val="맑은 고딕"/>
        <family val="0"/>
        <charset val="1"/>
      </rPr>
      <t xml:space="preserve">59</t>
    </r>
    <r>
      <rPr>
        <sz val="10"/>
        <rFont val="WenQuanYi Zen Hei"/>
        <family val="2"/>
      </rPr>
      <t xml:space="preserve">바퀴</t>
    </r>
  </si>
  <si>
    <t xml:space="preserve">25mm</t>
  </si>
  <si>
    <r>
      <rPr>
        <sz val="9"/>
        <color rgb="FF404040"/>
        <rFont val="WenQuanYi Zen Hei"/>
        <family val="2"/>
      </rPr>
      <t xml:space="preserve">연장량이 커서 익스텐션 링이 여러 개 필요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</si>
  <si>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M12 </t>
    </r>
    <r>
      <rPr>
        <sz val="9"/>
        <color rgb="FF404040"/>
        <rFont val="WenQuanYi Zen Hei"/>
        <family val="2"/>
      </rPr>
      <t xml:space="preserve">나사산은 보통 </t>
    </r>
    <r>
      <rPr>
        <sz val="9"/>
        <color rgb="FF404040"/>
        <rFont val="맑은 고딕"/>
        <family val="0"/>
        <charset val="1"/>
      </rPr>
      <t xml:space="preserve">10~18</t>
    </r>
    <r>
      <rPr>
        <sz val="9"/>
        <color rgb="FF404040"/>
        <rFont val="WenQuanYi Zen Hei"/>
        <family val="2"/>
      </rPr>
      <t xml:space="preserve">바퀴가 한계이므로 </t>
    </r>
    <r>
      <rPr>
        <sz val="9"/>
        <color rgb="FF404040"/>
        <rFont val="맑은 고딕"/>
        <family val="0"/>
        <charset val="1"/>
      </rPr>
      <t xml:space="preserve">8~12mm </t>
    </r>
    <r>
      <rPr>
        <sz val="9"/>
        <color rgb="FF404040"/>
        <rFont val="WenQuanYi Zen Hei"/>
        <family val="2"/>
      </rPr>
      <t xml:space="preserve">렌즈에는 </t>
    </r>
    <r>
      <rPr>
        <sz val="9"/>
        <color rgb="FF404040"/>
        <rFont val="맑은 고딕"/>
        <family val="0"/>
        <charset val="1"/>
      </rPr>
      <t xml:space="preserve">M12 </t>
    </r>
    <r>
      <rPr>
        <sz val="9"/>
        <color rgb="FF404040"/>
        <rFont val="WenQuanYi Zen Hei"/>
        <family val="2"/>
      </rPr>
      <t xml:space="preserve">익스텐션 링 </t>
    </r>
    <r>
      <rPr>
        <sz val="9"/>
        <color rgb="FF404040"/>
        <rFont val="맑은 고딕"/>
        <family val="0"/>
        <charset val="1"/>
      </rPr>
      <t xml:space="preserve">15~22mm</t>
    </r>
    <r>
      <rPr>
        <sz val="9"/>
        <color rgb="FF404040"/>
        <rFont val="WenQuanYi Zen Hei"/>
        <family val="2"/>
      </rPr>
      <t xml:space="preserve">가 함께 필요합니다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판매 페이지의 화각</t>
    </r>
    <r>
      <rPr>
        <sz val="9"/>
        <color rgb="FF404040"/>
        <rFont val="맑은 고딕"/>
        <family val="0"/>
        <charset val="1"/>
      </rPr>
      <t xml:space="preserve">(100°, 67° </t>
    </r>
    <r>
      <rPr>
        <sz val="9"/>
        <color rgb="FF404040"/>
        <rFont val="WenQuanYi Zen Hei"/>
        <family val="2"/>
      </rPr>
      <t xml:space="preserve">등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은 무한대 초점 기준이라 접사로 빼내는 순간 의미가 없어집니다 — 화각이 아니라 초점거리로 고르세요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 표는 렌즈를 교체할 수 있는 </t>
    </r>
    <r>
      <rPr>
        <sz val="9"/>
        <color rgb="FF404040"/>
        <rFont val="맑은 고딕"/>
        <family val="0"/>
        <charset val="1"/>
      </rPr>
      <t xml:space="preserve">M12 </t>
    </r>
    <r>
      <rPr>
        <sz val="9"/>
        <color rgb="FF404040"/>
        <rFont val="WenQuanYi Zen Hei"/>
        <family val="2"/>
      </rPr>
      <t xml:space="preserve">구조라야 성립하며</t>
    </r>
    <r>
      <rPr>
        <sz val="9"/>
        <color rgb="FF404040"/>
        <rFont val="맑은 고딕"/>
        <family val="0"/>
        <charset val="1"/>
      </rPr>
      <t xml:space="preserve">, 2</t>
    </r>
    <r>
      <rPr>
        <sz val="9"/>
        <color rgb="FF404040"/>
        <rFont val="WenQuanYi Zen Hei"/>
        <family val="2"/>
      </rPr>
      <t xml:space="preserve">안처럼 고정 렌즈 모듈이면 별도 접사 광학을 앞에 덧대야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</si>
  <si>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시야 폭별 해상도와 표시 배율 </t>
    </r>
    <r>
      <rPr>
        <b val="true"/>
        <sz val="12"/>
        <color rgb="FF1F3864"/>
        <rFont val="맑은 고딕"/>
        <family val="0"/>
        <charset val="1"/>
      </rPr>
      <t xml:space="preserve">(1</t>
    </r>
    <r>
      <rPr>
        <b val="true"/>
        <sz val="12"/>
        <color rgb="FF1F3864"/>
        <rFont val="WenQuanYi Zen Hei"/>
        <family val="2"/>
      </rPr>
      <t xml:space="preserve">안 </t>
    </r>
    <r>
      <rPr>
        <b val="true"/>
        <sz val="12"/>
        <color rgb="FF1F3864"/>
        <rFont val="맑은 고딕"/>
        <family val="0"/>
        <charset val="1"/>
      </rPr>
      <t xml:space="preserve">SC3336 </t>
    </r>
    <r>
      <rPr>
        <b val="true"/>
        <sz val="12"/>
        <color rgb="FF1F3864"/>
        <rFont val="WenQuanYi Zen Hei"/>
        <family val="2"/>
      </rPr>
      <t xml:space="preserve">기준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</si>
  <si>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화면 가로
시야 폭</t>
  </si>
  <si>
    <t xml:space="preserve">픽셀당
실제 크기</t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</si>
  <si>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인치 폰
표시 배율</t>
    </r>
  </si>
  <si>
    <r>
      <rPr>
        <b val="true"/>
        <sz val="10"/>
        <color rgb="FFFFFFFF"/>
        <rFont val="맑은 고딕"/>
        <family val="0"/>
        <charset val="1"/>
      </rPr>
      <t xml:space="preserve">24</t>
    </r>
    <r>
      <rPr>
        <b val="true"/>
        <sz val="10"/>
        <color rgb="FFFFFFFF"/>
        <rFont val="WenQuanYi Zen Hei"/>
        <family val="2"/>
      </rPr>
      <t xml:space="preserve">인치 모니터
표시 배율</t>
    </r>
  </si>
  <si>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~</t>
    </r>
    <r>
      <rPr>
        <b val="true"/>
        <sz val="10"/>
        <color rgb="FFFFFFFF"/>
        <rFont val="WenQuanYi Zen Hei"/>
        <family val="2"/>
      </rPr>
      <t xml:space="preserve">두피
</t>
    </r>
    <r>
      <rPr>
        <b val="true"/>
        <sz val="10"/>
        <color rgb="FFFFFFFF"/>
        <rFont val="맑은 고딕"/>
        <family val="0"/>
        <charset val="1"/>
      </rPr>
      <t xml:space="preserve">(8mm </t>
    </r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</si>
  <si>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머리카락
</t>
    </r>
    <r>
      <rPr>
        <b val="true"/>
        <sz val="10"/>
        <color rgb="FFFFFFFF"/>
        <rFont val="맑은 고딕"/>
        <family val="0"/>
        <charset val="1"/>
      </rPr>
      <t xml:space="preserve">(70μm)</t>
    </r>
  </si>
  <si>
    <t xml:space="preserve">실용성</t>
  </si>
  <si>
    <r>
      <rPr>
        <sz val="10"/>
        <rFont val="맑은 고딕"/>
        <family val="0"/>
        <charset val="1"/>
      </rPr>
      <t xml:space="preserve">30mm </t>
    </r>
    <r>
      <rPr>
        <sz val="10"/>
        <rFont val="WenQuanYi Zen Hei"/>
        <family val="2"/>
      </rPr>
      <t xml:space="preserve">이상</t>
    </r>
  </si>
  <si>
    <t xml:space="preserve">넓게 훑어보기 좋음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</si>
  <si>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20mm</t>
    </r>
  </si>
  <si>
    <t xml:space="preserve">여유 있음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</si>
  <si>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15mm</t>
    </r>
  </si>
  <si>
    <r>
      <rPr>
        <b val="true"/>
        <sz val="9"/>
        <color rgb="FFC00000"/>
        <rFont val="WenQuanYi Zen Hei"/>
        <family val="2"/>
      </rPr>
      <t xml:space="preserve">★ 권장 — 모공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모발이 잘 보이고 쓰기 편함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</si>
  <si>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11mm</t>
    </r>
  </si>
  <si>
    <t xml:space="preserve">좋음 — 실용 범위의 아래쪽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</si>
  <si>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8mm</t>
    </r>
  </si>
  <si>
    <t xml:space="preserve">모발 굵기까지 보이나 조명이 어려움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</si>
  <si>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5mm</t>
    </r>
  </si>
  <si>
    <t xml:space="preserve">두피에 닿아 사실상 사용 불가</t>
  </si>
  <si>
    <r>
      <rPr>
        <sz val="9"/>
        <color rgb="FF404040"/>
        <rFont val="맑은 고딕"/>
        <family val="0"/>
        <charset val="1"/>
      </rPr>
      <t xml:space="preserve">※ "</t>
    </r>
    <r>
      <rPr>
        <sz val="9"/>
        <color rgb="FF404040"/>
        <rFont val="WenQuanYi Zen Hei"/>
        <family val="2"/>
      </rPr>
      <t xml:space="preserve">몇 배</t>
    </r>
    <r>
      <rPr>
        <sz val="9"/>
        <color rgb="FF404040"/>
        <rFont val="맑은 고딕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는 화면 크기에 따라 달라지는 값입니다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같은 영상도 </t>
    </r>
    <r>
      <rPr>
        <sz val="9"/>
        <color rgb="FF404040"/>
        <rFont val="맑은 고딕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인치 폰과 </t>
    </r>
    <r>
      <rPr>
        <sz val="9"/>
        <color rgb="FF404040"/>
        <rFont val="맑은 고딕"/>
        <family val="0"/>
        <charset val="1"/>
      </rPr>
      <t xml:space="preserve">24</t>
    </r>
    <r>
      <rPr>
        <sz val="9"/>
        <color rgb="FF404040"/>
        <rFont val="WenQuanYi Zen Hei"/>
        <family val="2"/>
      </rPr>
      <t xml:space="preserve">인치 모니터에서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배 차이가 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시중 두피 진단기의 배율 표기는 모니터 기준이므로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사양을 관리할 때는 배율이 아니라 시야 폭</t>
    </r>
    <r>
      <rPr>
        <sz val="9"/>
        <color rgb="FF404040"/>
        <rFont val="맑은 고딕"/>
        <family val="0"/>
        <charset val="1"/>
      </rPr>
      <t xml:space="preserve">(mm)</t>
    </r>
    <r>
      <rPr>
        <sz val="9"/>
        <color rgb="FF404040"/>
        <rFont val="WenQuanYi Zen Hei"/>
        <family val="2"/>
      </rPr>
      <t xml:space="preserve">으로 잡아야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</si>
  <si>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</t>
    </r>
    <r>
      <rPr>
        <b val="true"/>
        <sz val="12"/>
        <color rgb="FF1F3864"/>
        <rFont val="WenQuanYi Zen Hei"/>
        <family val="2"/>
      </rPr>
      <t xml:space="preserve">실제 해상력 비교 — 시야 폭 </t>
    </r>
    <r>
      <rPr>
        <b val="true"/>
        <sz val="12"/>
        <color rgb="FF1F3864"/>
        <rFont val="맑은 고딕"/>
        <family val="0"/>
        <charset val="1"/>
      </rPr>
      <t xml:space="preserve">4mm </t>
    </r>
    <r>
      <rPr>
        <b val="true"/>
        <sz val="12"/>
        <color rgb="FF1F3864"/>
        <rFont val="WenQuanYi Zen Hei"/>
        <family val="2"/>
      </rPr>
      <t xml:space="preserve">조건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권장 조건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</si>
  <si>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SC3336 (3MP)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</si>
  <si>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GW3 (64MP)</t>
    </r>
  </si>
  <si>
    <t xml:space="preserve">광학 배율</t>
  </si>
  <si>
    <r>
      <rPr>
        <sz val="9"/>
        <color rgb="FF404040"/>
        <rFont val="WenQuanYi Zen Hei"/>
        <family val="2"/>
      </rPr>
      <t xml:space="preserve">센서가 클수록 같은 시야를 담는 데 더 높은 배율이 필요합니다 → 연장량과 조명 부담이 함께 늘어납니다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</si>
  <si>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유효 조리개</t>
  </si>
  <si>
    <r>
      <rPr>
        <sz val="9"/>
        <color rgb="FF404040"/>
        <rFont val="WenQuanYi Zen Hei"/>
        <family val="2"/>
      </rPr>
      <t xml:space="preserve">접사에서는 조리개가 </t>
    </r>
    <r>
      <rPr>
        <sz val="9"/>
        <color rgb="FF404040"/>
        <rFont val="맑은 고딕"/>
        <family val="0"/>
        <charset val="1"/>
      </rPr>
      <t xml:space="preserve">F × (1 + </t>
    </r>
    <r>
      <rPr>
        <sz val="9"/>
        <color rgb="FF404040"/>
        <rFont val="WenQuanYi Zen Hei"/>
        <family val="2"/>
      </rPr>
      <t xml:space="preserve">배율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커집니다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배율이 높을수록 빛이 급격히 줄고 회절이 심해집니다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</si>
  <si>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회절 한계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피사체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</si>
  <si>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★ 핵심 — 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선형 </t>
    </r>
    <r>
      <rPr>
        <sz val="9"/>
        <color rgb="FF404040"/>
        <rFont val="맑은 고딕"/>
        <family val="0"/>
        <charset val="1"/>
      </rPr>
      <t xml:space="preserve">4.6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차이지만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실제로 구분할 수 있는 크기의 차이는 약 </t>
    </r>
    <r>
      <rPr>
        <sz val="9"/>
        <color rgb="FF404040"/>
        <rFont val="맑은 고딕"/>
        <family val="0"/>
        <charset val="1"/>
      </rPr>
      <t xml:space="preserve">10%</t>
    </r>
    <r>
      <rPr>
        <sz val="9"/>
        <color rgb="FF404040"/>
        <rFont val="WenQuanYi Zen Hei"/>
        <family val="2"/>
      </rPr>
      <t xml:space="preserve">에 불과합니다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</si>
  <si>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센서 샘플링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전체 화소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</si>
  <si>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광학 한계보다 촘촘하게 이미 샘플링하고 있습니다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약 </t>
    </r>
    <r>
      <rPr>
        <sz val="9"/>
        <color rgb="FF404040"/>
        <rFont val="맑은 고딕"/>
        <family val="0"/>
        <charset val="1"/>
      </rPr>
      <t xml:space="preserve">5.0</t>
    </r>
    <r>
      <rPr>
        <sz val="9"/>
        <color rgb="FF404040"/>
        <rFont val="WenQuanYi Zen Hei"/>
        <family val="2"/>
      </rPr>
      <t xml:space="preserve">배 과샘플링입니다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</si>
  <si>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센서 샘플링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비닝 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</si>
  <si>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접사의 실제 동작 모드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4:1 </t>
    </r>
    <r>
      <rPr>
        <sz val="9"/>
        <color rgb="FF404040"/>
        <rFont val="WenQuanYi Zen Hei"/>
        <family val="2"/>
      </rPr>
      <t xml:space="preserve">비닝으로 </t>
    </r>
    <r>
      <rPr>
        <sz val="9"/>
        <color rgb="FF404040"/>
        <rFont val="맑은 고딕"/>
        <family val="0"/>
        <charset val="1"/>
      </rPr>
      <t xml:space="preserve">16MP(</t>
    </r>
    <r>
      <rPr>
        <sz val="9"/>
        <color rgb="FF404040"/>
        <rFont val="WenQuanYi Zen Hei"/>
        <family val="2"/>
      </rPr>
      <t xml:space="preserve">가로 </t>
    </r>
    <r>
      <rPr>
        <sz val="9"/>
        <color rgb="FF404040"/>
        <rFont val="맑은 고딕"/>
        <family val="0"/>
        <charset val="1"/>
      </rPr>
      <t xml:space="preserve">4,624px)</t>
    </r>
    <r>
      <rPr>
        <sz val="9"/>
        <color rgb="FF404040"/>
        <rFont val="WenQuanYi Zen Hei"/>
        <family val="2"/>
      </rPr>
      <t xml:space="preserve">가 되며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이 상태에서도 여전히 약 </t>
    </r>
    <r>
      <rPr>
        <sz val="9"/>
        <color rgb="FF404040"/>
        <rFont val="맑은 고딕"/>
        <family val="0"/>
        <charset val="1"/>
      </rPr>
      <t xml:space="preserve">2.5</t>
    </r>
    <r>
      <rPr>
        <sz val="9"/>
        <color rgb="FF404040"/>
        <rFont val="WenQuanYi Zen Hei"/>
        <family val="2"/>
      </rPr>
      <t xml:space="preserve">배 과샘플링입니다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</si>
  <si>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병목</t>
  </si>
  <si>
    <t xml:space="preserve">광학 — 센서는 이미 충분함</t>
  </si>
  <si>
    <r>
      <rPr>
        <sz val="10"/>
        <rFont val="WenQuanYi Zen Hei"/>
        <family val="2"/>
      </rPr>
      <t xml:space="preserve">광학 — 센서는 </t>
    </r>
    <r>
      <rPr>
        <sz val="10"/>
        <rFont val="맑은 고딕"/>
        <family val="0"/>
        <charset val="1"/>
      </rPr>
      <t xml:space="preserve">2.5~5</t>
    </r>
    <r>
      <rPr>
        <sz val="10"/>
        <rFont val="WenQuanYi Zen Hei"/>
        <family val="2"/>
      </rPr>
      <t xml:space="preserve">배 과샘플링</t>
    </r>
  </si>
  <si>
    <r>
      <rPr>
        <sz val="9"/>
        <color rgb="FF404040"/>
        <rFont val="WenQuanYi Zen Hei"/>
        <family val="2"/>
      </rPr>
      <t xml:space="preserve">양쪽 모두 한계를 정하는 것은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고정이며 화소가 아닙니다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</si>
  <si>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GW3 "64MP" </t>
    </r>
    <r>
      <rPr>
        <b val="true"/>
        <sz val="12"/>
        <color rgb="FF1F3864"/>
        <rFont val="WenQuanYi Zen Hei"/>
        <family val="2"/>
      </rPr>
      <t xml:space="preserve">표기가 실제로 도달하는 값</t>
    </r>
  </si>
  <si>
    <t xml:space="preserve">단계</t>
  </si>
  <si>
    <t xml:space="preserve">화소</t>
  </si>
  <si>
    <t xml:space="preserve">깎이는 이유</t>
  </si>
  <si>
    <t xml:space="preserve">① 카탈로그 표기</t>
  </si>
  <si>
    <t xml:space="preserve">64MP</t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</si>
  <si>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명목 최대 화소 </t>
    </r>
    <r>
      <rPr>
        <sz val="9"/>
        <color rgb="FF404040"/>
        <rFont val="맑은 고딕"/>
        <family val="0"/>
        <charset val="1"/>
      </rPr>
      <t xml:space="preserve">(9248×6936, 0.7μm).</t>
    </r>
  </si>
  <si>
    <t xml:space="preserve">② 저조도 비닝 후</t>
  </si>
  <si>
    <t xml:space="preserve">16MP</t>
  </si>
  <si>
    <r>
      <rPr>
        <sz val="9"/>
        <color rgb="FF404040"/>
        <rFont val="맑은 고딕"/>
        <family val="0"/>
        <charset val="1"/>
      </rPr>
      <t xml:space="preserve">Tetracell 4:1 </t>
    </r>
    <r>
      <rPr>
        <sz val="9"/>
        <color rgb="FF404040"/>
        <rFont val="WenQuanYi Zen Hei"/>
        <family val="2"/>
      </rPr>
      <t xml:space="preserve">비닝</t>
    </r>
    <r>
      <rPr>
        <sz val="9"/>
        <color rgb="FF404040"/>
        <rFont val="맑은 고딕"/>
        <family val="0"/>
        <charset val="1"/>
      </rPr>
      <t xml:space="preserve">(0.7μm → </t>
    </r>
    <r>
      <rPr>
        <sz val="9"/>
        <color rgb="FF404040"/>
        <rFont val="WenQuanYi Zen Hei"/>
        <family val="2"/>
      </rPr>
      <t xml:space="preserve">유효 </t>
    </r>
    <r>
      <rPr>
        <sz val="9"/>
        <color rgb="FF404040"/>
        <rFont val="맑은 고딕"/>
        <family val="0"/>
        <charset val="1"/>
      </rPr>
      <t xml:space="preserve">1.4μm)</t>
    </r>
    <r>
      <rPr>
        <sz val="9"/>
        <color rgb="FF404040"/>
        <rFont val="WenQuanYi Zen Hei"/>
        <family val="2"/>
      </rPr>
      <t xml:space="preserve">으로 감도 확보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접사는 빛이 부족해 사실상 이 모드로 동작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</si>
  <si>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③ PX30 ISP </t>
    </r>
    <r>
      <rPr>
        <b val="true"/>
        <sz val="10"/>
        <rFont val="WenQuanYi Zen Hei"/>
        <family val="2"/>
      </rPr>
      <t xml:space="preserve">상한</t>
    </r>
  </si>
  <si>
    <t xml:space="preserve">8MP</t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</si>
  <si>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</t>
    </r>
    <r>
      <rPr>
        <sz val="9"/>
        <color rgb="FF404040"/>
        <rFont val="WenQuanYi Zen Hei"/>
        <family val="2"/>
      </rPr>
      <t xml:space="preserve">가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까지만 처리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조차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</si>
  <si>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④ 실시간 스트리밍</t>
  </si>
  <si>
    <t xml:space="preserve">2MP (1080p)</t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</si>
  <si>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H.264 </t>
    </r>
    <r>
      <rPr>
        <sz val="9"/>
        <color rgb="FF404040"/>
        <rFont val="WenQuanYi Zen Hei"/>
        <family val="2"/>
      </rPr>
      <t xml:space="preserve">인코더가 </t>
    </r>
    <r>
      <rPr>
        <sz val="9"/>
        <color rgb="FF404040"/>
        <rFont val="맑은 고딕"/>
        <family val="0"/>
        <charset val="1"/>
      </rPr>
      <t xml:space="preserve">1080p@30fps</t>
    </r>
    <r>
      <rPr>
        <sz val="9"/>
        <color rgb="FF404040"/>
        <rFont val="WenQuanYi Zen Hei"/>
        <family val="2"/>
      </rPr>
      <t xml:space="preserve">까지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</si>
  <si>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결론 — 두피 관찰에서 화소는 이미 병목이 아닙니다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권장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시야 폭 </t>
    </r>
    <r>
      <rPr>
        <b val="true"/>
        <sz val="10"/>
        <color rgb="FF1F3864"/>
        <rFont val="맑은 고딕"/>
        <family val="0"/>
        <charset val="1"/>
      </rPr>
      <t xml:space="preserve">4mm)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안은 픽셀당 </t>
    </r>
    <r>
      <rPr>
        <b val="true"/>
        <sz val="10"/>
        <color rgb="FF1F3864"/>
        <rFont val="맑은 고딕"/>
        <family val="0"/>
        <charset val="1"/>
      </rPr>
      <t xml:space="preserve">1.74μm</t>
    </r>
    <r>
      <rPr>
        <b val="true"/>
        <sz val="10"/>
        <color rgb="FF1F3864"/>
        <rFont val="WenQuanYi Zen Hei"/>
        <family val="2"/>
      </rPr>
      <t xml:space="preserve">로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광학이 만들어낼 수 있는 한계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약 </t>
    </r>
    <r>
      <rPr>
        <b val="true"/>
        <sz val="10"/>
        <color rgb="FF1F3864"/>
        <rFont val="맑은 고딕"/>
        <family val="0"/>
        <charset val="1"/>
      </rPr>
      <t xml:space="preserve">4.8μm)</t>
    </r>
    <r>
      <rPr>
        <b val="true"/>
        <sz val="10"/>
        <color rgb="FF1F3864"/>
        <rFont val="WenQuanYi Zen Hei"/>
        <family val="2"/>
      </rPr>
      <t xml:space="preserve">보다 촘촘하게 샘플링하고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즉 지금도 렌즈가 만든 정보를 남김없이 담고 있어서 화소를 늘려도 더 보이는 것이 없습니다</t>
    </r>
    <r>
      <rPr>
        <b val="true"/>
        <sz val="10"/>
        <color rgb="FF1F3864"/>
        <rFont val="맑은 고딕"/>
        <family val="0"/>
        <charset val="1"/>
      </rPr>
      <t xml:space="preserve">. GW3</t>
    </r>
    <r>
      <rPr>
        <b val="true"/>
        <sz val="10"/>
        <color rgb="FF1F3864"/>
        <rFont val="WenQuanYi Zen Hei"/>
        <family val="2"/>
      </rPr>
      <t xml:space="preserve">로 올려도 실제 구분 가능한 크기는 약 </t>
    </r>
    <r>
      <rPr>
        <b val="true"/>
        <sz val="10"/>
        <color rgb="FF1F3864"/>
        <rFont val="맑은 고딕"/>
        <family val="0"/>
        <charset val="1"/>
      </rPr>
      <t xml:space="preserve">10%</t>
    </r>
    <r>
      <rPr>
        <b val="true"/>
        <sz val="10"/>
        <color rgb="FF1F3864"/>
        <rFont val="WenQuanYi Zen Hei"/>
        <family val="2"/>
      </rPr>
      <t xml:space="preserve">만 좋아지는 반면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픽셀이 </t>
    </r>
    <r>
      <rPr>
        <b val="true"/>
        <sz val="10"/>
        <color rgb="FF1F3864"/>
        <rFont val="맑은 고딕"/>
        <family val="0"/>
        <charset val="1"/>
      </rPr>
      <t xml:space="preserve">0.7μm</t>
    </r>
    <r>
      <rPr>
        <b val="true"/>
        <sz val="10"/>
        <color rgb="FF1F3864"/>
        <rFont val="WenQuanYi Zen Hei"/>
        <family val="2"/>
      </rPr>
      <t xml:space="preserve">로 더 작아져 접사에서 가장 부족한 빛에는 오히려 불리해집니다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더 결정적인 것은 </t>
    </r>
    <r>
      <rPr>
        <b val="true"/>
        <sz val="10"/>
        <color rgb="FF1F3864"/>
        <rFont val="맑은 고딕"/>
        <family val="0"/>
        <charset val="1"/>
      </rPr>
      <t xml:space="preserve">GW3</t>
    </r>
    <r>
      <rPr>
        <b val="true"/>
        <sz val="10"/>
        <color rgb="FF1F3864"/>
        <rFont val="WenQuanYi Zen Hei"/>
        <family val="2"/>
      </rPr>
      <t xml:space="preserve">가 스마트폰용 고정 렌즈 모듈이라는 점으로</t>
    </r>
    <r>
      <rPr>
        <b val="true"/>
        <sz val="10"/>
        <color rgb="FF1F3864"/>
        <rFont val="맑은 고딕"/>
        <family val="0"/>
        <charset val="1"/>
      </rPr>
      <t xml:space="preserve">, M12</t>
    </r>
    <r>
      <rPr>
        <b val="true"/>
        <sz val="10"/>
        <color rgb="FF1F3864"/>
        <rFont val="WenQuanYi Zen Hei"/>
        <family val="2"/>
      </rPr>
      <t xml:space="preserve">처럼 렌즈를 빼내 배율을 올리는 접사 구성 자체가 어렵습니다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결과를 가르는 것은 ① </t>
    </r>
    <r>
      <rPr>
        <b val="true"/>
        <sz val="10"/>
        <color rgb="FF1F3864"/>
        <rFont val="맑은 고딕"/>
        <family val="0"/>
        <charset val="1"/>
      </rPr>
      <t xml:space="preserve">8~12mm </t>
    </r>
    <r>
      <rPr>
        <b val="true"/>
        <sz val="10"/>
        <color rgb="FF1F3864"/>
        <rFont val="WenQuanYi Zen Hei"/>
        <family val="2"/>
      </rPr>
      <t xml:space="preserve">렌즈 </t>
    </r>
    <r>
      <rPr>
        <b val="true"/>
        <sz val="10"/>
        <color rgb="FF1F3864"/>
        <rFont val="맑은 고딕"/>
        <family val="0"/>
        <charset val="1"/>
      </rPr>
      <t xml:space="preserve">+ </t>
    </r>
    <r>
      <rPr>
        <b val="true"/>
        <sz val="10"/>
        <color rgb="FF1F3864"/>
        <rFont val="WenQuanYi Zen Hei"/>
        <family val="2"/>
      </rPr>
      <t xml:space="preserve">익스텐션 링</t>
    </r>
    <r>
      <rPr>
        <b val="true"/>
        <sz val="10"/>
        <color rgb="FF1F3864"/>
        <rFont val="맑은 고딕"/>
        <family val="0"/>
        <charset val="1"/>
      </rPr>
      <t xml:space="preserve">, ② LED </t>
    </r>
    <r>
      <rPr>
        <b val="true"/>
        <sz val="10"/>
        <color rgb="FF1F3864"/>
        <rFont val="WenQuanYi Zen Hei"/>
        <family val="2"/>
      </rPr>
      <t xml:space="preserve">링 조명</t>
    </r>
    <r>
      <rPr>
        <b val="true"/>
        <sz val="10"/>
        <color rgb="FF1F3864"/>
        <rFont val="맑은 고딕"/>
        <family val="0"/>
        <charset val="1"/>
      </rPr>
      <t xml:space="preserve">, ③ </t>
    </r>
    <r>
      <rPr>
        <b val="true"/>
        <sz val="10"/>
        <color rgb="FF1F3864"/>
        <rFont val="WenQuanYi Zen Hei"/>
        <family val="2"/>
      </rPr>
      <t xml:space="preserve">거리 고정 경통</t>
    </r>
    <r>
      <rPr>
        <b val="true"/>
        <sz val="10"/>
        <color rgb="FF1F3864"/>
        <rFont val="맑은 고딕"/>
        <family val="0"/>
        <charset val="1"/>
      </rPr>
      <t xml:space="preserve">, ④ </t>
    </r>
    <r>
      <rPr>
        <b val="true"/>
        <sz val="10"/>
        <color rgb="FF1F3864"/>
        <rFont val="WenQuanYi Zen Hei"/>
        <family val="2"/>
      </rPr>
      <t xml:space="preserve">노출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화이트밸런스 고정 이 네 가지입니다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</si>
  <si>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타사 제품 분석 — </t>
    </r>
    <r>
      <rPr>
        <b val="true"/>
        <sz val="14"/>
        <color rgb="FF1F3864"/>
        <rFont val="맑은 고딕"/>
        <family val="0"/>
        <charset val="1"/>
      </rPr>
      <t xml:space="preserve">PX30 + ISOCELL GW3   |   </t>
    </r>
    <r>
      <rPr>
        <b val="true"/>
        <sz val="14"/>
        <color rgb="FF1F3864"/>
        <rFont val="WenQuanYi Zen Hei"/>
        <family val="2"/>
      </rPr>
      <t xml:space="preserve">우리 제품과의 비교</t>
    </r>
  </si>
  <si>
    <r>
      <rPr>
        <i val="true"/>
        <sz val="9"/>
        <color rgb="FF7F7F7F"/>
        <rFont val="WenQuanYi Zen Hei"/>
        <family val="2"/>
      </rPr>
      <t xml:space="preserve">노란 칸 </t>
    </r>
    <r>
      <rPr>
        <i val="true"/>
        <sz val="9"/>
        <color rgb="FF7F7F7F"/>
        <rFont val="맑은 고딕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입력값</t>
    </r>
    <r>
      <rPr>
        <i val="true"/>
        <sz val="9"/>
        <color rgb="FF7F7F7F"/>
        <rFont val="맑은 고딕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실측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제원</t>
    </r>
    <r>
      <rPr>
        <i val="true"/>
        <sz val="9"/>
        <color rgb="FF7F7F7F"/>
        <rFont val="맑은 고딕"/>
        <family val="0"/>
        <charset val="1"/>
      </rPr>
      <t xml:space="preserve">), </t>
    </r>
    <r>
      <rPr>
        <i val="true"/>
        <sz val="9"/>
        <color rgb="FF7F7F7F"/>
        <rFont val="WenQuanYi Zen Hei"/>
        <family val="2"/>
      </rPr>
      <t xml:space="preserve">주황 칸 </t>
    </r>
    <r>
      <rPr>
        <i val="true"/>
        <sz val="9"/>
        <color rgb="FF7F7F7F"/>
        <rFont val="맑은 고딕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역산 추정값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값을 바꾸면 아래 지표가 모두 다시 계산됩니다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</si>
  <si>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0. </t>
    </r>
    <r>
      <rPr>
        <b val="true"/>
        <sz val="12"/>
        <color rgb="FF1F3864"/>
        <rFont val="WenQuanYi Zen Hei"/>
        <family val="2"/>
      </rPr>
      <t xml:space="preserve">확정 정보</t>
    </r>
  </si>
  <si>
    <r>
      <rPr>
        <b val="true"/>
        <sz val="10"/>
        <color rgb="FFFFFFFF"/>
        <rFont val="WenQuanYi Zen Hei"/>
        <family val="2"/>
      </rPr>
      <t xml:space="preserve">보드 — </t>
    </r>
    <r>
      <rPr>
        <b val="true"/>
        <sz val="10"/>
        <color rgb="FFFFFFFF"/>
        <rFont val="맑은 고딕"/>
        <family val="0"/>
        <charset val="1"/>
      </rPr>
      <t xml:space="preserve">Rockchip PX30 (2018)</t>
    </r>
  </si>
  <si>
    <r>
      <rPr>
        <b val="true"/>
        <sz val="10"/>
        <color rgb="FFFFFFFF"/>
        <rFont val="WenQuanYi Zen Hei"/>
        <family val="2"/>
      </rPr>
      <t xml:space="preserve">센서 — </t>
    </r>
    <r>
      <rPr>
        <b val="true"/>
        <sz val="10"/>
        <color rgb="FFFFFFFF"/>
        <rFont val="맑은 고딕"/>
        <family val="0"/>
        <charset val="1"/>
      </rPr>
      <t xml:space="preserve">Samsung ISOCELL GW3</t>
    </r>
  </si>
  <si>
    <t xml:space="preserve">연산</t>
  </si>
  <si>
    <t xml:space="preserve">Cortex-A35 ×4 @ 1.5GHz + Mali-G31 MP2</t>
  </si>
  <si>
    <t xml:space="preserve">—</t>
  </si>
  <si>
    <r>
      <rPr>
        <sz val="9"/>
        <color rgb="FF404040"/>
        <rFont val="WenQuanYi Zen Hei"/>
        <family val="2"/>
      </rPr>
      <t xml:space="preserve">디스플레이 구동을 위한 </t>
    </r>
    <r>
      <rPr>
        <sz val="9"/>
        <color rgb="FF404040"/>
        <rFont val="맑은 고딕"/>
        <family val="0"/>
        <charset val="1"/>
      </rPr>
      <t xml:space="preserve">AP </t>
    </r>
    <r>
      <rPr>
        <sz val="9"/>
        <color rgb="FF404040"/>
        <rFont val="WenQuanYi Zen Hei"/>
        <family val="2"/>
      </rPr>
      <t xml:space="preserve">구성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</si>
  <si>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인코더</t>
  </si>
  <si>
    <r>
      <rPr>
        <sz val="10"/>
        <rFont val="맑은 고딕"/>
        <family val="0"/>
        <charset val="1"/>
      </rPr>
      <t xml:space="preserve">H.264 1080p@30 (H.265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</si>
  <si>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라이브뷰 상한을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묶는 지점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</si>
  <si>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수 </t>
    </r>
    <r>
      <rPr>
        <sz val="10"/>
        <rFont val="맑은 고딕"/>
        <family val="0"/>
        <charset val="1"/>
      </rPr>
      <t xml:space="preserve">MP</t>
    </r>
    <r>
      <rPr>
        <sz val="10"/>
        <rFont val="WenQuanYi Zen Hei"/>
        <family val="2"/>
      </rPr>
      <t xml:space="preserve">급</t>
    </r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</si>
  <si>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를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</si>
  <si>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메모리 </t>
    </r>
    <r>
      <rPr>
        <b val="true"/>
        <sz val="10"/>
        <rFont val="맑은 고딕"/>
        <family val="0"/>
        <charset val="1"/>
      </rPr>
      <t xml:space="preserve">/ OS</t>
    </r>
  </si>
  <si>
    <r>
      <rPr>
        <sz val="10"/>
        <rFont val="WenQuanYi Zen Hei"/>
        <family val="2"/>
      </rPr>
      <t xml:space="preserve">외장 </t>
    </r>
    <r>
      <rPr>
        <sz val="10"/>
        <rFont val="맑은 고딕"/>
        <family val="0"/>
        <charset val="1"/>
      </rPr>
      <t xml:space="preserve">DDR3·DDR4 + eMMC / </t>
    </r>
    <r>
      <rPr>
        <sz val="10"/>
        <rFont val="WenQuanYi Zen Hei"/>
        <family val="2"/>
      </rPr>
      <t xml:space="preserve">안드로이드 </t>
    </r>
    <r>
      <rPr>
        <sz val="10"/>
        <rFont val="맑은 고딕"/>
        <family val="0"/>
        <charset val="1"/>
      </rPr>
      <t xml:space="preserve">8.1·9</t>
    </r>
  </si>
  <si>
    <r>
      <rPr>
        <sz val="9"/>
        <color rgb="FF404040"/>
        <rFont val="WenQuanYi Zen Hei"/>
        <family val="2"/>
      </rPr>
      <t xml:space="preserve">외장 </t>
    </r>
    <r>
      <rPr>
        <sz val="9"/>
        <color rgb="FF404040"/>
        <rFont val="맑은 고딕"/>
        <family val="0"/>
        <charset val="1"/>
      </rPr>
      <t xml:space="preserve">DDR</t>
    </r>
    <r>
      <rPr>
        <sz val="9"/>
        <color rgb="FF404040"/>
        <rFont val="WenQuanYi Zen Hei"/>
        <family val="2"/>
      </rPr>
      <t xml:space="preserve">가 </t>
    </r>
    <r>
      <rPr>
        <sz val="9"/>
        <color rgb="FF404040"/>
        <rFont val="맑은 고딕"/>
        <family val="0"/>
        <charset val="1"/>
      </rPr>
      <t xml:space="preserve">BOM 34,200</t>
    </r>
    <r>
      <rPr>
        <sz val="9"/>
        <color rgb="FF404040"/>
        <rFont val="WenQuanYi Zen Hei"/>
        <family val="2"/>
      </rPr>
      <t xml:space="preserve">원의 원인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</si>
  <si>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센서 해상도</t>
  </si>
  <si>
    <t xml:space="preserve">64MP — 9248×6944, 0.7μm</t>
  </si>
  <si>
    <r>
      <rPr>
        <sz val="9"/>
        <color rgb="FF404040"/>
        <rFont val="WenQuanYi Zen Hei"/>
        <family val="2"/>
      </rPr>
      <t xml:space="preserve">약 </t>
    </r>
    <r>
      <rPr>
        <sz val="9"/>
        <color rgb="FF404040"/>
        <rFont val="맑은 고딕"/>
        <family val="0"/>
        <charset val="1"/>
      </rPr>
      <t xml:space="preserve">6.5 × 4.9mm (1/1.97").</t>
    </r>
  </si>
  <si>
    <r>
      <rPr>
        <b val="true"/>
        <sz val="10"/>
        <rFont val="WenQuanYi Zen Hei"/>
        <family val="2"/>
      </rPr>
      <t xml:space="preserve">비닝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인터페이스</t>
    </r>
  </si>
  <si>
    <t xml:space="preserve">Tetracell 4-in-1 → 16MP / MIPI CSI-2 4-lane</t>
  </si>
  <si>
    <r>
      <rPr>
        <sz val="9"/>
        <color rgb="FF404040"/>
        <rFont val="WenQuanYi Zen Hei"/>
        <family val="2"/>
      </rPr>
      <t xml:space="preserve">저조도에서 유효 </t>
    </r>
    <r>
      <rPr>
        <sz val="9"/>
        <color rgb="FF404040"/>
        <rFont val="맑은 고딕"/>
        <family val="0"/>
        <charset val="1"/>
      </rPr>
      <t xml:space="preserve">1.4μm.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</si>
  <si>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입력값 — 실측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제원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역산</t>
    </r>
  </si>
  <si>
    <t xml:space="preserve">타사 작동거리</t>
  </si>
  <si>
    <t xml:space="preserve">실측값</t>
  </si>
  <si>
    <r>
      <rPr>
        <b val="true"/>
        <sz val="10"/>
        <rFont val="WenQuanYi Zen Hei"/>
        <family val="2"/>
      </rPr>
      <t xml:space="preserve">타사 광학 배율 </t>
    </r>
    <r>
      <rPr>
        <b val="true"/>
        <sz val="10"/>
        <rFont val="맑은 고딕"/>
        <family val="0"/>
        <charset val="1"/>
      </rPr>
      <t xml:space="preserve">m</t>
    </r>
  </si>
  <si>
    <t xml:space="preserve">배</t>
  </si>
  <si>
    <r>
      <rPr>
        <sz val="9"/>
        <color rgb="FF404040"/>
        <rFont val="WenQuanYi Zen Hei"/>
        <family val="2"/>
      </rPr>
      <t xml:space="preserve">역산 추정 — 작동거리 </t>
    </r>
    <r>
      <rPr>
        <sz val="9"/>
        <color rgb="FF404040"/>
        <rFont val="맑은 고딕"/>
        <family val="0"/>
        <charset val="1"/>
      </rPr>
      <t xml:space="preserve">10mm + </t>
    </r>
    <r>
      <rPr>
        <sz val="9"/>
        <color rgb="FF404040"/>
        <rFont val="WenQuanYi Zen Hei"/>
        <family val="2"/>
      </rPr>
      <t xml:space="preserve">폰 렌즈 </t>
    </r>
    <r>
      <rPr>
        <sz val="9"/>
        <color rgb="FF404040"/>
        <rFont val="맑은 고딕"/>
        <family val="0"/>
        <charset val="1"/>
      </rPr>
      <t xml:space="preserve">f≈5mm</t>
    </r>
  </si>
  <si>
    <r>
      <rPr>
        <b val="true"/>
        <sz val="10"/>
        <rFont val="WenQuanYi Zen Hei"/>
        <family val="2"/>
      </rPr>
      <t xml:space="preserve">타사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유력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</si>
  <si>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폰 카메라 모듈 통상값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고정 조리개라 조절 불가</t>
    </r>
  </si>
  <si>
    <r>
      <rPr>
        <b val="true"/>
        <sz val="10"/>
        <rFont val="WenQuanYi Zen Hei"/>
        <family val="2"/>
      </rPr>
      <t xml:space="preserve">타사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</si>
  <si>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심도 </t>
    </r>
    <r>
      <rPr>
        <sz val="9"/>
        <color rgb="FF404040"/>
        <rFont val="맑은 고딕"/>
        <family val="0"/>
        <charset val="1"/>
      </rPr>
      <t xml:space="preserve">44μm</t>
    </r>
    <r>
      <rPr>
        <sz val="9"/>
        <color rgb="FF404040"/>
        <rFont val="WenQuanYi Zen Hei"/>
        <family val="2"/>
      </rPr>
      <t xml:space="preserve">에서 역산하면 나오는 값 — 아래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번 참고</t>
    </r>
  </si>
  <si>
    <r>
      <rPr>
        <b val="true"/>
        <sz val="10"/>
        <rFont val="맑은 고딕"/>
        <family val="0"/>
        <charset val="1"/>
      </rPr>
      <t xml:space="preserve">GW3 </t>
    </r>
    <r>
      <rPr>
        <b val="true"/>
        <sz val="10"/>
        <rFont val="WenQuanYi Zen Hei"/>
        <family val="2"/>
      </rPr>
      <t xml:space="preserve">픽셀 피치</t>
    </r>
  </si>
  <si>
    <t xml:space="preserve">공식 제원</t>
  </si>
  <si>
    <r>
      <rPr>
        <b val="true"/>
        <sz val="10"/>
        <rFont val="맑은 고딕"/>
        <family val="0"/>
        <charset val="1"/>
      </rPr>
      <t xml:space="preserve">GW3 </t>
    </r>
    <r>
      <rPr>
        <b val="true"/>
        <sz val="10"/>
        <rFont val="WenQuanYi Zen Hei"/>
        <family val="2"/>
      </rPr>
      <t xml:space="preserve">가로 픽셀</t>
    </r>
  </si>
  <si>
    <t xml:space="preserve">타사 라이브뷰 가로</t>
  </si>
  <si>
    <r>
      <rPr>
        <sz val="9"/>
        <color rgb="FF404040"/>
        <rFont val="맑은 고딕"/>
        <family val="0"/>
        <charset val="1"/>
      </rPr>
      <t xml:space="preserve">PX30 H.264 1080p </t>
    </r>
    <r>
      <rPr>
        <sz val="9"/>
        <color rgb="FF404040"/>
        <rFont val="WenQuanYi Zen Hei"/>
        <family val="2"/>
      </rPr>
      <t xml:space="preserve">상한</t>
    </r>
  </si>
  <si>
    <r>
      <rPr>
        <b val="true"/>
        <sz val="10"/>
        <rFont val="맑은 고딕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광학 배율 </t>
    </r>
    <r>
      <rPr>
        <b val="true"/>
        <sz val="10"/>
        <rFont val="맑은 고딕"/>
        <family val="0"/>
        <charset val="1"/>
      </rPr>
      <t xml:space="preserve">m</t>
    </r>
  </si>
  <si>
    <t xml:space="preserve">우리 목표</t>
  </si>
  <si>
    <r>
      <rPr>
        <b val="true"/>
        <sz val="10"/>
        <rFont val="맑은 고딕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</t>
    </r>
  </si>
  <si>
    <r>
      <rPr>
        <sz val="9"/>
        <color rgb="FF404040"/>
        <rFont val="맑은 고딕"/>
        <family val="0"/>
        <charset val="1"/>
      </rPr>
      <t xml:space="preserve">SC3336 </t>
    </r>
    <r>
      <rPr>
        <sz val="9"/>
        <color rgb="FF404040"/>
        <rFont val="WenQuanYi Zen Hei"/>
        <family val="2"/>
      </rPr>
      <t xml:space="preserve">모듈 기본 </t>
    </r>
    <r>
      <rPr>
        <sz val="9"/>
        <color rgb="FF404040"/>
        <rFont val="맑은 고딕"/>
        <family val="0"/>
        <charset val="1"/>
      </rPr>
      <t xml:space="preserve">F2.0</t>
    </r>
  </si>
  <si>
    <r>
      <rPr>
        <b val="true"/>
        <sz val="10"/>
        <rFont val="맑은 고딕"/>
        <family val="0"/>
        <charset val="1"/>
      </rPr>
      <t xml:space="preserve">SC3336 </t>
    </r>
    <r>
      <rPr>
        <b val="true"/>
        <sz val="10"/>
        <rFont val="WenQuanYi Zen Hei"/>
        <family val="2"/>
      </rPr>
      <t xml:space="preserve">픽셀 피치</t>
    </r>
  </si>
  <si>
    <r>
      <rPr>
        <b val="true"/>
        <sz val="10"/>
        <rFont val="맑은 고딕"/>
        <family val="0"/>
        <charset val="1"/>
      </rPr>
      <t xml:space="preserve">SC3336 </t>
    </r>
    <r>
      <rPr>
        <b val="true"/>
        <sz val="10"/>
        <rFont val="WenQuanYi Zen Hei"/>
        <family val="2"/>
      </rPr>
      <t xml:space="preserve">가로 픽셀</t>
    </r>
  </si>
  <si>
    <r>
      <rPr>
        <sz val="9"/>
        <color rgb="FF404040"/>
        <rFont val="WenQuanYi Zen Hei"/>
        <family val="2"/>
      </rPr>
      <t xml:space="preserve">스트림 전폭 </t>
    </r>
    <r>
      <rPr>
        <sz val="9"/>
        <color rgb="FF404040"/>
        <rFont val="맑은 고딕"/>
        <family val="0"/>
        <charset val="1"/>
      </rPr>
      <t xml:space="preserve">(H.265 2304×1296)</t>
    </r>
  </si>
  <si>
    <t xml:space="preserve">모니터 가로 폭</t>
  </si>
  <si>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환산에 쓰인 기준 화면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</si>
  <si>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성능 지표 — 조리개 가정별 </t>
    </r>
    <r>
      <rPr>
        <b val="true"/>
        <sz val="12"/>
        <color rgb="FF1F3864"/>
        <rFont val="맑은 고딕"/>
        <family val="0"/>
        <charset val="1"/>
      </rPr>
      <t xml:space="preserve">(★ = </t>
    </r>
    <r>
      <rPr>
        <b val="true"/>
        <sz val="12"/>
        <color rgb="FF1F3864"/>
        <rFont val="WenQuanYi Zen Hei"/>
        <family val="2"/>
      </rPr>
      <t xml:space="preserve">유력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</si>
  <si>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지표</t>
  </si>
  <si>
    <r>
      <rPr>
        <b val="true"/>
        <sz val="10"/>
        <color rgb="FFFFFFFF"/>
        <rFont val="WenQuanYi Zen Hei"/>
        <family val="2"/>
      </rPr>
      <t xml:space="preserve">타사 ★</t>
    </r>
    <r>
      <rPr>
        <b val="true"/>
        <sz val="10"/>
        <color rgb="FFFFFFFF"/>
        <rFont val="맑은 고딕"/>
        <family val="0"/>
        <charset val="1"/>
      </rPr>
      <t xml:space="preserve">F1.8</t>
    </r>
  </si>
  <si>
    <r>
      <rPr>
        <b val="true"/>
        <sz val="10"/>
        <color rgb="FFFFFFFF"/>
        <rFont val="WenQuanYi Zen Hei"/>
        <family val="2"/>
      </rPr>
      <t xml:space="preserve">타사 </t>
    </r>
    <r>
      <rPr>
        <b val="true"/>
        <sz val="10"/>
        <color rgb="FFFFFFFF"/>
        <rFont val="맑은 고딕"/>
        <family val="0"/>
        <charset val="1"/>
      </rPr>
      <t xml:space="preserve">F4.0</t>
    </r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</si>
  <si>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F2.0</t>
    </r>
  </si>
  <si>
    <t xml:space="preserve">샘플링</t>
  </si>
  <si>
    <r>
      <rPr>
        <sz val="9"/>
        <color rgb="FF404040"/>
        <rFont val="WenQuanYi Zen Hei"/>
        <family val="2"/>
      </rPr>
      <t xml:space="preserve">피사체 위에서 픽셀 하나가 덮는 실제 크기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작을수록 촘촘합니다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</si>
  <si>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접사에서는 </t>
    </r>
    <r>
      <rPr>
        <sz val="9"/>
        <color rgb="FF404040"/>
        <rFont val="맑은 고딕"/>
        <family val="0"/>
        <charset val="1"/>
      </rPr>
      <t xml:space="preserve">F × (1 + </t>
    </r>
    <r>
      <rPr>
        <sz val="9"/>
        <color rgb="FF404040"/>
        <rFont val="WenQuanYi Zen Hei"/>
        <family val="2"/>
      </rPr>
      <t xml:space="preserve">배율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커집니다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</si>
  <si>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광학 분해능</t>
  </si>
  <si>
    <r>
      <rPr>
        <sz val="9"/>
        <color rgb="FF404040"/>
        <rFont val="WenQuanYi Zen Hei"/>
        <family val="2"/>
      </rPr>
      <t xml:space="preserve">★ 회절 한계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이보다 작은 것은 화소를 아무리 늘려도 구분되지 않습니다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</si>
  <si>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심도</t>
  </si>
  <si>
    <r>
      <rPr>
        <sz val="9"/>
        <color rgb="FF404040"/>
        <rFont val="WenQuanYi Zen Hei"/>
        <family val="2"/>
      </rPr>
      <t xml:space="preserve">허용착란원을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픽셀로 둔 값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얕을수록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나 거리 고정이 필수가 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</si>
  <si>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라이브뷰 시야</t>
  </si>
  <si>
    <r>
      <rPr>
        <sz val="9"/>
        <color rgb="FF404040"/>
        <rFont val="WenQuanYi Zen Hei"/>
        <family val="2"/>
      </rPr>
      <t xml:space="preserve">타사는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잘라낸 폭</t>
    </r>
    <r>
      <rPr>
        <sz val="9"/>
        <color rgb="FF404040"/>
        <rFont val="맑은 고딕"/>
        <family val="0"/>
        <charset val="1"/>
      </rPr>
      <t xml:space="preserve">, A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2304px </t>
    </r>
    <r>
      <rPr>
        <sz val="9"/>
        <color rgb="FF404040"/>
        <rFont val="WenQuanYi Zen Hei"/>
        <family val="2"/>
      </rPr>
      <t xml:space="preserve">전폭입니다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</si>
  <si>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전체 센서 시야</t>
  </si>
  <si>
    <r>
      <rPr>
        <sz val="9"/>
        <color rgb="FF404040"/>
        <rFont val="WenQuanYi Zen Hei"/>
        <family val="2"/>
      </rPr>
      <t xml:space="preserve">타사는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정지컷에서만 이 넓이를 씁니다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</si>
  <si>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머리카락 </t>
    </r>
    <r>
      <rPr>
        <b val="true"/>
        <sz val="10"/>
        <rFont val="맑은 고딕"/>
        <family val="0"/>
        <charset val="1"/>
      </rPr>
      <t xml:space="preserve">(70μm)</t>
    </r>
  </si>
  <si>
    <r>
      <rPr>
        <sz val="9"/>
        <color rgb="FF404040"/>
        <rFont val="WenQuanYi Zen Hei"/>
        <family val="2"/>
      </rPr>
      <t xml:space="preserve">굵기 판정에 쓰이는 화면상 두께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</si>
  <si>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모니터 환산 배율</t>
  </si>
  <si>
    <r>
      <rPr>
        <sz val="9"/>
        <color rgb="FF404040"/>
        <rFont val="맑은 고딕"/>
        <family val="0"/>
        <charset val="1"/>
      </rPr>
      <t xml:space="preserve">40cm </t>
    </r>
    <r>
      <rPr>
        <sz val="9"/>
        <color rgb="FF404040"/>
        <rFont val="WenQuanYi Zen Hei"/>
        <family val="2"/>
      </rPr>
      <t xml:space="preserve">모니터에 꽉 채웠을 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타사의 </t>
    </r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표기가 여기서 나옵니다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</si>
  <si>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9"/>
        <color rgb="FF806000"/>
        <rFont val="WenQuanYi Zen Hei"/>
        <family val="2"/>
      </rPr>
      <t xml:space="preserve">⚠ 조리개 불일치 — 제시된 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광학 분해능 </t>
    </r>
    <r>
      <rPr>
        <b val="true"/>
        <sz val="9"/>
        <color rgb="FF806000"/>
        <rFont val="맑은 고딕"/>
        <family val="0"/>
        <charset val="1"/>
      </rPr>
      <t xml:space="preserve">5μm"</t>
    </r>
    <r>
      <rPr>
        <b val="true"/>
        <sz val="9"/>
        <color rgb="FF806000"/>
        <rFont val="WenQuanYi Zen Hei"/>
        <family val="2"/>
      </rPr>
      <t xml:space="preserve">과 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44μm"</t>
    </r>
    <r>
      <rPr>
        <b val="true"/>
        <sz val="9"/>
        <color rgb="FF806000"/>
        <rFont val="WenQuanYi Zen Hei"/>
        <family val="2"/>
      </rPr>
      <t xml:space="preserve">은 동시에 성립하지 않습니다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44μm</t>
    </r>
    <r>
      <rPr>
        <b val="true"/>
        <sz val="9"/>
        <color rgb="FF806000"/>
        <rFont val="WenQuanYi Zen Hei"/>
        <family val="2"/>
      </rPr>
      <t xml:space="preserve">은 </t>
    </r>
    <r>
      <rPr>
        <b val="true"/>
        <sz val="9"/>
        <color rgb="FF806000"/>
        <rFont val="맑은 고딕"/>
        <family val="0"/>
        <charset val="1"/>
      </rPr>
      <t xml:space="preserve">F4.0</t>
    </r>
    <r>
      <rPr>
        <b val="true"/>
        <sz val="9"/>
        <color rgb="FF806000"/>
        <rFont val="WenQuanYi Zen Hei"/>
        <family val="2"/>
      </rPr>
      <t xml:space="preserve">에서 나오는 값인데</t>
    </r>
    <r>
      <rPr>
        <b val="true"/>
        <sz val="9"/>
        <color rgb="FF806000"/>
        <rFont val="맑은 고딕"/>
        <family val="0"/>
        <charset val="1"/>
      </rPr>
      <t xml:space="preserve">, F4.0</t>
    </r>
    <r>
      <rPr>
        <b val="true"/>
        <sz val="9"/>
        <color rgb="FF806000"/>
        <rFont val="WenQuanYi Zen Hei"/>
        <family val="2"/>
      </rPr>
      <t xml:space="preserve">이면 분해능은 </t>
    </r>
    <r>
      <rPr>
        <b val="true"/>
        <sz val="9"/>
        <color rgb="FF806000"/>
        <rFont val="맑은 고딕"/>
        <family val="0"/>
        <charset val="1"/>
      </rPr>
      <t xml:space="preserve">13.6μm</t>
    </r>
    <r>
      <rPr>
        <b val="true"/>
        <sz val="9"/>
        <color rgb="FF806000"/>
        <rFont val="WenQuanYi Zen Hei"/>
        <family val="2"/>
      </rPr>
      <t xml:space="preserve">입니다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반대로 분해능이 </t>
    </r>
    <r>
      <rPr>
        <b val="true"/>
        <sz val="9"/>
        <color rgb="FF806000"/>
        <rFont val="맑은 고딕"/>
        <family val="0"/>
        <charset val="1"/>
      </rPr>
      <t xml:space="preserve">5μm</t>
    </r>
    <r>
      <rPr>
        <b val="true"/>
        <sz val="9"/>
        <color rgb="FF806000"/>
        <rFont val="WenQuanYi Zen Hei"/>
        <family val="2"/>
      </rPr>
      <t xml:space="preserve">이 되려면 </t>
    </r>
    <r>
      <rPr>
        <b val="true"/>
        <sz val="9"/>
        <color rgb="FF806000"/>
        <rFont val="맑은 고딕"/>
        <family val="0"/>
        <charset val="1"/>
      </rPr>
      <t xml:space="preserve">F1.5</t>
    </r>
    <r>
      <rPr>
        <b val="true"/>
        <sz val="9"/>
        <color rgb="FF806000"/>
        <rFont val="WenQuanYi Zen Hei"/>
        <family val="2"/>
      </rPr>
      <t xml:space="preserve">가 필요하고</t>
    </r>
    <r>
      <rPr>
        <b val="true"/>
        <sz val="9"/>
        <color rgb="FF806000"/>
        <rFont val="맑은 고딕"/>
        <family val="0"/>
        <charset val="1"/>
      </rPr>
      <t xml:space="preserve">, </t>
    </r>
    <r>
      <rPr>
        <b val="true"/>
        <sz val="9"/>
        <color rgb="FF806000"/>
        <rFont val="WenQuanYi Zen Hei"/>
        <family val="2"/>
      </rPr>
      <t xml:space="preserve">그때 심도는 </t>
    </r>
    <r>
      <rPr>
        <b val="true"/>
        <sz val="9"/>
        <color rgb="FF806000"/>
        <rFont val="맑은 고딕"/>
        <family val="0"/>
        <charset val="1"/>
      </rPr>
      <t xml:space="preserve">15μm </t>
    </r>
    <r>
      <rPr>
        <b val="true"/>
        <sz val="9"/>
        <color rgb="FF806000"/>
        <rFont val="WenQuanYi Zen Hei"/>
        <family val="2"/>
      </rPr>
      <t xml:space="preserve">수준으로 얕아집니다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폰 카메라 모듈은 고정 조리개 </t>
    </r>
    <r>
      <rPr>
        <b val="true"/>
        <sz val="9"/>
        <color rgb="FF806000"/>
        <rFont val="맑은 고딕"/>
        <family val="0"/>
        <charset val="1"/>
      </rPr>
      <t xml:space="preserve">F1.8 </t>
    </r>
    <r>
      <rPr>
        <b val="true"/>
        <sz val="9"/>
        <color rgb="FF806000"/>
        <rFont val="WenQuanYi Zen Hei"/>
        <family val="2"/>
      </rPr>
      <t xml:space="preserve">전후이므로 ★</t>
    </r>
    <r>
      <rPr>
        <b val="true"/>
        <sz val="9"/>
        <color rgb="FF806000"/>
        <rFont val="맑은 고딕"/>
        <family val="0"/>
        <charset val="1"/>
      </rPr>
      <t xml:space="preserve">F1.8 </t>
    </r>
    <r>
      <rPr>
        <b val="true"/>
        <sz val="9"/>
        <color rgb="FF806000"/>
        <rFont val="WenQuanYi Zen Hei"/>
        <family val="2"/>
      </rPr>
      <t xml:space="preserve">열</t>
    </r>
    <r>
      <rPr>
        <b val="true"/>
        <sz val="9"/>
        <color rgb="FF806000"/>
        <rFont val="맑은 고딕"/>
        <family val="0"/>
        <charset val="1"/>
      </rPr>
      <t xml:space="preserve">(</t>
    </r>
    <r>
      <rPr>
        <b val="true"/>
        <sz val="9"/>
        <color rgb="FF806000"/>
        <rFont val="WenQuanYi Zen Hei"/>
        <family val="2"/>
      </rPr>
      <t xml:space="preserve">분해능 </t>
    </r>
    <r>
      <rPr>
        <b val="true"/>
        <sz val="9"/>
        <color rgb="FF806000"/>
        <rFont val="맑은 고딕"/>
        <family val="0"/>
        <charset val="1"/>
      </rPr>
      <t xml:space="preserve">6.1μm · 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20μm)</t>
    </r>
    <r>
      <rPr>
        <b val="true"/>
        <sz val="9"/>
        <color rgb="FF806000"/>
        <rFont val="WenQuanYi Zen Hei"/>
        <family val="2"/>
      </rPr>
      <t xml:space="preserve">이 실제에 가깝습니다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얕은 심도는 타사가 </t>
    </r>
    <r>
      <rPr>
        <b val="true"/>
        <sz val="9"/>
        <color rgb="FF806000"/>
        <rFont val="맑은 고딕"/>
        <family val="0"/>
        <charset val="1"/>
      </rPr>
      <t xml:space="preserve">VCM AF</t>
    </r>
    <r>
      <rPr>
        <b val="true"/>
        <sz val="9"/>
        <color rgb="FF806000"/>
        <rFont val="WenQuanYi Zen Hei"/>
        <family val="2"/>
      </rPr>
      <t xml:space="preserve">를 넣은 이유이기도 합니다</t>
    </r>
    <r>
      <rPr>
        <b val="true"/>
        <sz val="9"/>
        <color rgb="FF80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</si>
  <si>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타사 라이브뷰가 만들어지는 방식 — </t>
    </r>
    <r>
      <rPr>
        <b val="true"/>
        <sz val="12"/>
        <color rgb="FF1F3864"/>
        <rFont val="맑은 고딕"/>
        <family val="0"/>
        <charset val="1"/>
      </rPr>
      <t xml:space="preserve">3</t>
    </r>
    <r>
      <rPr>
        <b val="true"/>
        <sz val="12"/>
        <color rgb="FF1F3864"/>
        <rFont val="WenQuanYi Zen Hei"/>
        <family val="2"/>
      </rPr>
      <t xml:space="preserve">가지 가능성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미확인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</si>
  <si>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방식</t>
  </si>
  <si>
    <t xml:space="preserve">구분 가능 크기</t>
  </si>
  <si>
    <t xml:space="preserve">판정</t>
  </si>
  <si>
    <r>
      <rPr>
        <b val="true"/>
        <sz val="10"/>
        <rFont val="맑은 고딕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풀해상도 윈도우 크롭</t>
    </r>
  </si>
  <si>
    <r>
      <rPr>
        <sz val="9"/>
        <color rgb="FF404040"/>
        <rFont val="WenQuanYi Zen Hei"/>
        <family val="2"/>
      </rPr>
      <t xml:space="preserve">제시하신 가정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분해능 </t>
    </r>
    <r>
      <rPr>
        <sz val="9"/>
        <color rgb="FF404040"/>
        <rFont val="맑은 고딕"/>
        <family val="0"/>
        <charset val="1"/>
      </rPr>
      <t xml:space="preserve">6.1μm </t>
    </r>
    <r>
      <rPr>
        <sz val="9"/>
        <color rgb="FF404040"/>
        <rFont val="WenQuanYi Zen Hei"/>
        <family val="2"/>
      </rPr>
      <t xml:space="preserve">대비 약 </t>
    </r>
    <r>
      <rPr>
        <sz val="9"/>
        <color rgb="FF404040"/>
        <rFont val="맑은 고딕"/>
        <family val="0"/>
        <charset val="1"/>
      </rPr>
      <t xml:space="preserve">3</t>
    </r>
    <r>
      <rPr>
        <sz val="9"/>
        <color rgb="FF404040"/>
        <rFont val="WenQuanYi Zen Hei"/>
        <family val="2"/>
      </rPr>
      <t xml:space="preserve">배 과샘플링이고</t>
    </r>
    <r>
      <rPr>
        <sz val="9"/>
        <color rgb="FF404040"/>
        <rFont val="맑은 고딕"/>
        <family val="0"/>
        <charset val="1"/>
      </rPr>
      <t xml:space="preserve">, 0.7μm </t>
    </r>
    <r>
      <rPr>
        <sz val="9"/>
        <color rgb="FF404040"/>
        <rFont val="WenQuanYi Zen Hei"/>
        <family val="2"/>
      </rPr>
      <t xml:space="preserve">픽셀을 비닝 없이 읽어 저조도에 가장 불리합니다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</si>
  <si>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비닝 후 윈도우 크롭</t>
    </r>
  </si>
  <si>
    <r>
      <rPr>
        <sz val="9"/>
        <color rgb="FF404040"/>
        <rFont val="WenQuanYi Zen Hei"/>
        <family val="2"/>
      </rPr>
      <t xml:space="preserve">★ 가장 합리적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분해능 </t>
    </r>
    <r>
      <rPr>
        <sz val="9"/>
        <color rgb="FF404040"/>
        <rFont val="맑은 고딕"/>
        <family val="0"/>
        <charset val="1"/>
      </rPr>
      <t xml:space="preserve">6.1μm</t>
    </r>
    <r>
      <rPr>
        <sz val="9"/>
        <color rgb="FF404040"/>
        <rFont val="WenQuanYi Zen Hei"/>
        <family val="2"/>
      </rPr>
      <t xml:space="preserve">과 샘플링이 잘 맞고 저조도에도 유리합니다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 경우 타사 라이브뷰는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안과 거의 같아집니다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</si>
  <si>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전체 시야 다운스케일</t>
    </r>
  </si>
  <si>
    <r>
      <rPr>
        <sz val="9"/>
        <color rgb="FF404040"/>
        <rFont val="WenQuanYi Zen Hei"/>
        <family val="2"/>
      </rPr>
      <t xml:space="preserve">시야는 넓지만 구분 가능 크기가 </t>
    </r>
    <r>
      <rPr>
        <sz val="9"/>
        <color rgb="FF404040"/>
        <rFont val="맑은 고딕"/>
        <family val="0"/>
        <charset val="1"/>
      </rPr>
      <t xml:space="preserve">10μm</t>
    </r>
    <r>
      <rPr>
        <sz val="9"/>
        <color rgb="FF404040"/>
        <rFont val="WenQuanYi Zen Hei"/>
        <family val="2"/>
      </rPr>
      <t xml:space="preserve">대로 뭉개져 </t>
    </r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표기와 맞지 않습니다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</si>
  <si>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3</t>
    </r>
    <r>
      <rPr>
        <b val="true"/>
        <sz val="12"/>
        <color rgb="FF1F3864"/>
        <rFont val="WenQuanYi Zen Hei"/>
        <family val="2"/>
      </rPr>
      <t xml:space="preserve">자 비교</t>
    </r>
  </si>
  <si>
    <r>
      <rPr>
        <b val="true"/>
        <sz val="10"/>
        <color rgb="FFFFFFFF"/>
        <rFont val="WenQuanYi Zen Hei"/>
        <family val="2"/>
      </rPr>
      <t xml:space="preserve">타사
</t>
    </r>
    <r>
      <rPr>
        <b val="true"/>
        <sz val="10"/>
        <color rgb="FFFFFFFF"/>
        <rFont val="맑은 고딕"/>
        <family val="0"/>
        <charset val="1"/>
      </rPr>
      <t xml:space="preserve">(PX30+GW3)</t>
    </r>
  </si>
  <si>
    <r>
      <rPr>
        <b val="true"/>
        <sz val="10"/>
        <color rgb="FFFFFFFF"/>
        <rFont val="WenQuanYi Zen Hei"/>
        <family val="2"/>
      </rPr>
      <t xml:space="preserve">현재 시제품
</t>
    </r>
    <r>
      <rPr>
        <b val="true"/>
        <sz val="10"/>
        <color rgb="FFFFFFFF"/>
        <rFont val="맑은 고딕"/>
        <family val="0"/>
        <charset val="1"/>
      </rPr>
      <t xml:space="preserve">(RV1106)</t>
    </r>
  </si>
  <si>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
</t>
    </r>
    <r>
      <rPr>
        <b val="true"/>
        <sz val="10"/>
        <color rgb="FFFFFFFF"/>
        <rFont val="맑은 고딕"/>
        <family val="0"/>
        <charset val="1"/>
      </rPr>
      <t xml:space="preserve">(RV1106)</t>
    </r>
  </si>
  <si>
    <t xml:space="preserve">보드</t>
  </si>
  <si>
    <r>
      <rPr>
        <sz val="10"/>
        <rFont val="맑은 고딕"/>
        <family val="0"/>
        <charset val="1"/>
      </rPr>
      <t xml:space="preserve">PX30 (</t>
    </r>
    <r>
      <rPr>
        <sz val="10"/>
        <rFont val="WenQuanYi Zen Hei"/>
        <family val="2"/>
      </rPr>
      <t xml:space="preserve">안드로이드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</si>
  <si>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(</t>
    </r>
    <r>
      <rPr>
        <sz val="10"/>
        <rFont val="WenQuanYi Zen Hei"/>
        <family val="2"/>
      </rPr>
      <t xml:space="preserve">리눅스</t>
    </r>
    <r>
      <rPr>
        <sz val="10"/>
        <rFont val="맑은 고딕"/>
        <family val="0"/>
        <charset val="1"/>
      </rPr>
      <t xml:space="preserve">)</t>
    </r>
  </si>
  <si>
    <t xml:space="preserve">RV1106</t>
  </si>
  <si>
    <t xml:space="preserve">센서</t>
  </si>
  <si>
    <t xml:space="preserve">GW3 64MP / 0.7μm</t>
  </si>
  <si>
    <t xml:space="preserve">SC3336 3MP / 2.2μm</t>
  </si>
  <si>
    <t xml:space="preserve">동일</t>
  </si>
  <si>
    <t xml:space="preserve">인코딩</t>
  </si>
  <si>
    <t xml:space="preserve">H.264 1080p</t>
  </si>
  <si>
    <t xml:space="preserve">H.265 2304×1296</t>
  </si>
  <si>
    <r>
      <rPr>
        <b val="true"/>
        <sz val="9"/>
        <color rgb="FFC00000"/>
        <rFont val="WenQuanYi Zen Hei"/>
        <family val="2"/>
      </rPr>
      <t xml:space="preserve">우리가 앞선 부분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</si>
  <si>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DDR</t>
  </si>
  <si>
    <t xml:space="preserve">외장</t>
  </si>
  <si>
    <r>
      <rPr>
        <sz val="10"/>
        <rFont val="WenQuanYi Zen Hei"/>
        <family val="2"/>
      </rPr>
      <t xml:space="preserve">내장 </t>
    </r>
    <r>
      <rPr>
        <sz val="10"/>
        <rFont val="맑은 고딕"/>
        <family val="0"/>
        <charset val="1"/>
      </rPr>
      <t xml:space="preserve">(SIP)</t>
    </r>
  </si>
  <si>
    <t xml:space="preserve">내장</t>
  </si>
  <si>
    <r>
      <rPr>
        <b val="true"/>
        <sz val="9"/>
        <color rgb="FFC00000"/>
        <rFont val="WenQuanYi Zen Hei"/>
        <family val="2"/>
      </rPr>
      <t xml:space="preserve">우리가 앞선 부분 — 원가 </t>
    </r>
    <r>
      <rPr>
        <b val="true"/>
        <sz val="9"/>
        <color rgb="FFC00000"/>
        <rFont val="맑은 고딕"/>
        <family val="0"/>
        <charset val="1"/>
      </rPr>
      <t xml:space="preserve">34,200</t>
    </r>
    <r>
      <rPr>
        <b val="true"/>
        <sz val="9"/>
        <color rgb="FFC00000"/>
        <rFont val="WenQuanYi Zen Hei"/>
        <family val="2"/>
      </rPr>
      <t xml:space="preserve">원 차이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</si>
  <si>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화면</t>
  </si>
  <si>
    <t xml:space="preserve">자체 디스플레이</t>
  </si>
  <si>
    <t xml:space="preserve">폰 앱</t>
  </si>
  <si>
    <r>
      <rPr>
        <b val="true"/>
        <sz val="9"/>
        <color rgb="FFC00000"/>
        <rFont val="WenQuanYi Zen Hei"/>
        <family val="2"/>
      </rPr>
      <t xml:space="preserve">우리가 앞선 부분 — 원가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부피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</si>
  <si>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0.65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</si>
  <si>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0.4</t>
    </r>
    <r>
      <rPr>
        <sz val="10"/>
        <rFont val="WenQuanYi Zen Hei"/>
        <family val="2"/>
      </rPr>
      <t xml:space="preserve">배 ※미확정</t>
    </r>
  </si>
  <si>
    <r>
      <rPr>
        <sz val="10"/>
        <rFont val="맑은 고딕"/>
        <family val="0"/>
        <charset val="1"/>
      </rPr>
      <t xml:space="preserve">1.0</t>
    </r>
    <r>
      <rPr>
        <sz val="10"/>
        <rFont val="WenQuanYi Zen Hei"/>
        <family val="2"/>
      </rPr>
      <t xml:space="preserve">배</t>
    </r>
  </si>
  <si>
    <r>
      <rPr>
        <sz val="9"/>
        <color rgb="FF404040"/>
        <rFont val="WenQuanYi Zen Hei"/>
        <family val="2"/>
      </rPr>
      <t xml:space="preserve">우리가 뒤진 부분 ① — 부품 몇 만원으로 해결</t>
    </r>
    <r>
      <rPr>
        <sz val="9"/>
        <color rgb="FF404040"/>
        <rFont val="맑은 고딕"/>
        <family val="0"/>
        <charset val="1"/>
      </rPr>
      <t xml:space="preserve">.</t>
    </r>
  </si>
  <si>
    <t xml:space="preserve">1.08μm/px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</si>
  <si>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5μm/px</t>
    </r>
  </si>
  <si>
    <t xml:space="preserve">2.2μm/px</t>
  </si>
  <si>
    <r>
      <rPr>
        <sz val="9"/>
        <color rgb="FF404040"/>
        <rFont val="WenQuanYi Zen Hei"/>
        <family val="2"/>
      </rPr>
      <t xml:space="preserve">배율만 올리면 따라잡힘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</si>
  <si>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2.07mm (</t>
    </r>
    <r>
      <rPr>
        <sz val="10"/>
        <rFont val="WenQuanYi Zen Hei"/>
        <family val="2"/>
      </rPr>
      <t xml:space="preserve">방식 </t>
    </r>
    <r>
      <rPr>
        <sz val="10"/>
        <rFont val="맑은 고딕"/>
        <family val="0"/>
        <charset val="1"/>
      </rPr>
      <t xml:space="preserve">A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</t>
    </r>
  </si>
  <si>
    <t xml:space="preserve">넓음</t>
  </si>
  <si>
    <t xml:space="preserve">5.07mm</t>
  </si>
  <si>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오히려 넓음 — 조준이 쉬움</t>
    </r>
    <r>
      <rPr>
        <sz val="9"/>
        <color rgb="FF404040"/>
        <rFont val="맑은 고딕"/>
        <family val="0"/>
        <charset val="1"/>
      </rPr>
      <t xml:space="preserve">.</t>
    </r>
  </si>
  <si>
    <t xml:space="preserve">6.13μm (F1.8)</t>
  </si>
  <si>
    <t xml:space="preserve">5.37μm</t>
  </si>
  <si>
    <r>
      <rPr>
        <b val="true"/>
        <sz val="9"/>
        <color rgb="FFC00000"/>
        <rFont val="맑은 고딕"/>
        <family val="0"/>
        <charset val="1"/>
      </rPr>
      <t xml:space="preserve">★ A</t>
    </r>
    <r>
      <rPr>
        <b val="true"/>
        <sz val="9"/>
        <color rgb="FFC00000"/>
        <rFont val="WenQuanYi Zen Hei"/>
        <family val="2"/>
      </rPr>
      <t xml:space="preserve">안이 근소하게 앞섬</t>
    </r>
    <r>
      <rPr>
        <b val="true"/>
        <sz val="9"/>
        <color rgb="FFC00000"/>
        <rFont val="맑은 고딕"/>
        <family val="0"/>
        <charset val="1"/>
      </rPr>
      <t xml:space="preserve">. </t>
    </r>
    <r>
      <rPr>
        <b val="true"/>
        <sz val="9"/>
        <color rgb="FFC00000"/>
        <rFont val="WenQuanYi Zen Hei"/>
        <family val="2"/>
      </rPr>
      <t xml:space="preserve">둘 다 회절 한계에 묶임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</si>
  <si>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19.7μm</t>
  </si>
  <si>
    <t xml:space="preserve">35.2μm</t>
  </si>
  <si>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더 깊어 거리 고정이 수월함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</si>
  <si>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AF</t>
  </si>
  <si>
    <r>
      <rPr>
        <sz val="10"/>
        <rFont val="맑은 고딕"/>
        <family val="0"/>
        <charset val="1"/>
      </rPr>
      <t xml:space="preserve">VCM </t>
    </r>
    <r>
      <rPr>
        <sz val="10"/>
        <rFont val="WenQuanYi Zen Hei"/>
        <family val="2"/>
      </rPr>
      <t xml:space="preserve">내장</t>
    </r>
  </si>
  <si>
    <r>
      <rPr>
        <sz val="10"/>
        <rFont val="맑은 고딕"/>
        <family val="0"/>
        <charset val="1"/>
      </rPr>
      <t xml:space="preserve">VCM + </t>
    </r>
    <r>
      <rPr>
        <sz val="10"/>
        <rFont val="WenQuanYi Zen Hei"/>
        <family val="2"/>
      </rPr>
      <t xml:space="preserve">직접 구현</t>
    </r>
  </si>
  <si>
    <r>
      <rPr>
        <sz val="9"/>
        <color rgb="FF404040"/>
        <rFont val="WenQuanYi Zen Hei"/>
        <family val="2"/>
      </rPr>
      <t xml:space="preserve">타사는 심도 </t>
    </r>
    <r>
      <rPr>
        <sz val="9"/>
        <color rgb="FF404040"/>
        <rFont val="맑은 고딕"/>
        <family val="0"/>
        <charset val="1"/>
      </rPr>
      <t xml:space="preserve">20μm</t>
    </r>
    <r>
      <rPr>
        <sz val="9"/>
        <color rgb="FF404040"/>
        <rFont val="WenQuanYi Zen Hei"/>
        <family val="2"/>
      </rPr>
      <t xml:space="preserve">이라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가 필수였음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</si>
  <si>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조명</t>
  </si>
  <si>
    <r>
      <rPr>
        <sz val="10"/>
        <rFont val="WenQuanYi Zen Hei"/>
        <family val="2"/>
      </rPr>
      <t xml:space="preserve">링 </t>
    </r>
    <r>
      <rPr>
        <sz val="10"/>
        <rFont val="맑은 고딕"/>
        <family val="0"/>
        <charset val="1"/>
      </rPr>
      <t xml:space="preserve">LED + </t>
    </r>
    <r>
      <rPr>
        <sz val="10"/>
        <rFont val="WenQuanYi Zen Hei"/>
        <family val="2"/>
      </rPr>
      <t xml:space="preserve">편광</t>
    </r>
  </si>
  <si>
    <t xml:space="preserve">동일 구성</t>
  </si>
  <si>
    <r>
      <rPr>
        <sz val="9"/>
        <color rgb="FF404040"/>
        <rFont val="WenQuanYi Zen Hei"/>
        <family val="2"/>
      </rPr>
      <t xml:space="preserve">우리가 뒤진 부분 ② — 부품 </t>
    </r>
    <r>
      <rPr>
        <sz val="9"/>
        <color rgb="FF404040"/>
        <rFont val="맑은 고딕"/>
        <family val="0"/>
        <charset val="1"/>
      </rPr>
      <t xml:space="preserve">1~2</t>
    </r>
    <r>
      <rPr>
        <sz val="9"/>
        <color rgb="FF404040"/>
        <rFont val="WenQuanYi Zen Hei"/>
        <family val="2"/>
      </rPr>
      <t xml:space="preserve">만원으로 해결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</si>
  <si>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</t>
    </r>
    <r>
      <rPr>
        <b val="true"/>
        <sz val="12"/>
        <color rgb="FF1F3864"/>
        <rFont val="WenQuanYi Zen Hei"/>
        <family val="2"/>
      </rPr>
      <t xml:space="preserve">시사점</t>
    </r>
  </si>
  <si>
    <t xml:space="preserve">① 선명도는 우리가 근소 우위</t>
  </si>
  <si>
    <r>
      <rPr>
        <sz val="9"/>
        <color rgb="FF404040"/>
        <rFont val="WenQuanYi Zen Hei"/>
        <family val="2"/>
      </rPr>
      <t xml:space="preserve">둘 다 회절 한계에 묶여 있고</t>
    </r>
    <r>
      <rPr>
        <sz val="9"/>
        <color rgb="FF404040"/>
        <rFont val="맑은 고딕"/>
        <family val="0"/>
        <charset val="1"/>
      </rPr>
      <t xml:space="preserve">, F1.8 </t>
    </r>
    <r>
      <rPr>
        <sz val="9"/>
        <color rgb="FF404040"/>
        <rFont val="WenQuanYi Zen Hei"/>
        <family val="2"/>
      </rPr>
      <t xml:space="preserve">기준 타사 </t>
    </r>
    <r>
      <rPr>
        <sz val="9"/>
        <color rgb="FF404040"/>
        <rFont val="맑은 고딕"/>
        <family val="0"/>
        <charset val="1"/>
      </rPr>
      <t xml:space="preserve">6.13μm </t>
    </r>
    <r>
      <rPr>
        <sz val="9"/>
        <color rgb="FF404040"/>
        <rFont val="WenQuanYi Zen Hei"/>
        <family val="2"/>
      </rPr>
      <t xml:space="preserve">대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 </t>
    </r>
    <r>
      <rPr>
        <sz val="9"/>
        <color rgb="FF404040"/>
        <rFont val="맑은 고딕"/>
        <family val="0"/>
        <charset val="1"/>
      </rPr>
      <t xml:space="preserve">5.37μm</t>
    </r>
    <r>
      <rPr>
        <sz val="9"/>
        <color rgb="FF404040"/>
        <rFont val="WenQuanYi Zen Hei"/>
        <family val="2"/>
      </rPr>
      <t xml:space="preserve">으로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오히려 약간 앞섭니다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타사가 우위인 것은 정지컷의 넓이</t>
    </r>
    <r>
      <rPr>
        <sz val="9"/>
        <color rgb="FF404040"/>
        <rFont val="맑은 고딕"/>
        <family val="0"/>
        <charset val="1"/>
      </rPr>
      <t xml:space="preserve">(9.96mm)</t>
    </r>
    <r>
      <rPr>
        <sz val="9"/>
        <color rgb="FF404040"/>
        <rFont val="WenQuanYi Zen Hei"/>
        <family val="2"/>
      </rPr>
      <t xml:space="preserve">이지 선명도가 아닙니다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</si>
  <si>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② 라이브뷰 넓이도 </t>
    </r>
    <r>
      <rPr>
        <b val="true"/>
        <sz val="10"/>
        <color rgb="FF1F3864"/>
        <rFont val="맑은 고딕"/>
        <family val="0"/>
        <charset val="1"/>
      </rPr>
      <t xml:space="preserve">A</t>
    </r>
    <r>
      <rPr>
        <b val="true"/>
        <sz val="10"/>
        <color rgb="FF1F3864"/>
        <rFont val="WenQuanYi Zen Hei"/>
        <family val="2"/>
      </rPr>
      <t xml:space="preserve">안이 앞섬</t>
    </r>
  </si>
  <si>
    <r>
      <rPr>
        <sz val="9"/>
        <color rgb="FF404040"/>
        <rFont val="WenQuanYi Zen Hei"/>
        <family val="2"/>
      </rPr>
      <t xml:space="preserve">타사 라이브뷰는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잘라낸 </t>
    </r>
    <r>
      <rPr>
        <sz val="9"/>
        <color rgb="FF404040"/>
        <rFont val="맑은 고딕"/>
        <family val="0"/>
        <charset val="1"/>
      </rPr>
      <t xml:space="preserve">2.07mm</t>
    </r>
    <r>
      <rPr>
        <sz val="9"/>
        <color rgb="FF404040"/>
        <rFont val="WenQuanYi Zen Hei"/>
        <family val="2"/>
      </rPr>
      <t xml:space="preserve">이고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2304px </t>
    </r>
    <r>
      <rPr>
        <sz val="9"/>
        <color rgb="FF404040"/>
        <rFont val="WenQuanYi Zen Hei"/>
        <family val="2"/>
      </rPr>
      <t xml:space="preserve">전폭 </t>
    </r>
    <r>
      <rPr>
        <sz val="9"/>
        <color rgb="FF404040"/>
        <rFont val="맑은 고딕"/>
        <family val="0"/>
        <charset val="1"/>
      </rPr>
      <t xml:space="preserve">5.07mm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0"/>
        <charset val="1"/>
      </rPr>
      <t xml:space="preserve">. 9.96mm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정지컷에서만 나오는 값이라 조준 화면과는 다릅니다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</si>
  <si>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③ 우리가 뒤진 것은 두 가지뿐</t>
  </si>
  <si>
    <r>
      <rPr>
        <sz val="9"/>
        <color rgb="FF404040"/>
        <rFont val="WenQuanYi Zen Hei"/>
        <family val="2"/>
      </rPr>
      <t xml:space="preserve">배율 </t>
    </r>
    <r>
      <rPr>
        <sz val="9"/>
        <color rgb="FF404040"/>
        <rFont val="맑은 고딕"/>
        <family val="0"/>
        <charset val="1"/>
      </rPr>
      <t xml:space="preserve">0.4 → 1.0 (</t>
    </r>
    <r>
      <rPr>
        <sz val="9"/>
        <color rgb="FF404040"/>
        <rFont val="WenQuanYi Zen Hei"/>
        <family val="2"/>
      </rPr>
      <t xml:space="preserve">렌즈 </t>
    </r>
    <r>
      <rPr>
        <sz val="9"/>
        <color rgb="FF404040"/>
        <rFont val="맑은 고딕"/>
        <family val="0"/>
        <charset val="1"/>
      </rPr>
      <t xml:space="preserve">+ </t>
    </r>
    <r>
      <rPr>
        <sz val="9"/>
        <color rgb="FF404040"/>
        <rFont val="WenQuanYi Zen Hei"/>
        <family val="2"/>
      </rPr>
      <t xml:space="preserve">익스텐션 링</t>
    </r>
    <r>
      <rPr>
        <sz val="9"/>
        <color rgb="FF404040"/>
        <rFont val="맑은 고딕"/>
        <family val="0"/>
        <charset val="1"/>
      </rPr>
      <t xml:space="preserve">), 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편광 부재 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링 </t>
    </r>
    <r>
      <rPr>
        <sz val="9"/>
        <color rgb="FF404040"/>
        <rFont val="맑은 고딕"/>
        <family val="0"/>
        <charset val="1"/>
      </rPr>
      <t xml:space="preserve">LED + </t>
    </r>
    <r>
      <rPr>
        <sz val="9"/>
        <color rgb="FF404040"/>
        <rFont val="WenQuanYi Zen Hei"/>
        <family val="2"/>
      </rPr>
      <t xml:space="preserve">편광 필름</t>
    </r>
    <r>
      <rPr>
        <sz val="9"/>
        <color rgb="FF404040"/>
        <rFont val="맑은 고딕"/>
        <family val="0"/>
        <charset val="1"/>
      </rPr>
      <t xml:space="preserve">). </t>
    </r>
    <r>
      <rPr>
        <sz val="9"/>
        <color rgb="FF404040"/>
        <rFont val="WenQuanYi Zen Hei"/>
        <family val="2"/>
      </rPr>
      <t xml:space="preserve">합쳐서 부품 </t>
    </r>
    <r>
      <rPr>
        <sz val="9"/>
        <color rgb="FF404040"/>
        <rFont val="맑은 고딕"/>
        <family val="0"/>
        <charset val="1"/>
      </rPr>
      <t xml:space="preserve">3~5</t>
    </r>
    <r>
      <rPr>
        <sz val="9"/>
        <color rgb="FF404040"/>
        <rFont val="WenQuanYi Zen Hei"/>
        <family val="2"/>
      </rPr>
      <t xml:space="preserve">만원 수준이고 지금 바로 가능합니다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</si>
  <si>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④ 화소 차이는 거의 의미 없음</t>
  </si>
  <si>
    <r>
      <rPr>
        <sz val="9"/>
        <color rgb="FF404040"/>
        <rFont val="WenQuanYi Zen Hei"/>
        <family val="2"/>
      </rPr>
      <t xml:space="preserve">배율 </t>
    </r>
    <r>
      <rPr>
        <sz val="9"/>
        <color rgb="FF404040"/>
        <rFont val="맑은 고딕"/>
        <family val="0"/>
        <charset val="1"/>
      </rPr>
      <t xml:space="preserve">1.0</t>
    </r>
    <r>
      <rPr>
        <sz val="9"/>
        <color rgb="FF404040"/>
        <rFont val="WenQuanYi Zen Hei"/>
        <family val="2"/>
      </rPr>
      <t xml:space="preserve">에서 샘플링 </t>
    </r>
    <r>
      <rPr>
        <sz val="9"/>
        <color rgb="FF404040"/>
        <rFont val="맑은 고딕"/>
        <family val="0"/>
        <charset val="1"/>
      </rPr>
      <t xml:space="preserve">2.2μm/px</t>
    </r>
    <r>
      <rPr>
        <sz val="9"/>
        <color rgb="FF404040"/>
        <rFont val="WenQuanYi Zen Hei"/>
        <family val="2"/>
      </rPr>
      <t xml:space="preserve">면 광학 한계 </t>
    </r>
    <r>
      <rPr>
        <sz val="9"/>
        <color rgb="FF404040"/>
        <rFont val="맑은 고딕"/>
        <family val="0"/>
        <charset val="1"/>
      </rPr>
      <t xml:space="preserve">5.37μm</t>
    </r>
    <r>
      <rPr>
        <sz val="9"/>
        <color rgb="FF404040"/>
        <rFont val="WenQuanYi Zen Hei"/>
        <family val="2"/>
      </rPr>
      <t xml:space="preserve">을 나이퀴스트로 충분히 담습니다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타사의 나머지 화소는 과샘플링과 정지컷 크롭 여유로 쓰입니다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</si>
  <si>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⑤ 설계 사상의 차이</t>
  </si>
  <si>
    <r>
      <rPr>
        <sz val="9"/>
        <color rgb="FF404040"/>
        <rFont val="WenQuanYi Zen Hei"/>
        <family val="2"/>
      </rPr>
      <t xml:space="preserve">타사는 배율을 낮게 두고 작은 픽셀로 당기는 방식이라 렌즈가 단순하고 심도가 깊어집니다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다만 </t>
    </r>
    <r>
      <rPr>
        <sz val="9"/>
        <color rgb="FF404040"/>
        <rFont val="맑은 고딕"/>
        <family val="0"/>
        <charset val="1"/>
      </rPr>
      <t xml:space="preserve">F1.8</t>
    </r>
    <r>
      <rPr>
        <sz val="9"/>
        <color rgb="FF404040"/>
        <rFont val="WenQuanYi Zen Hei"/>
        <family val="2"/>
      </rPr>
      <t xml:space="preserve">에서는 심도가 </t>
    </r>
    <r>
      <rPr>
        <sz val="9"/>
        <color rgb="FF404040"/>
        <rFont val="맑은 고딕"/>
        <family val="0"/>
        <charset val="1"/>
      </rPr>
      <t xml:space="preserve">20μm</t>
    </r>
    <r>
      <rPr>
        <sz val="9"/>
        <color rgb="FF404040"/>
        <rFont val="WenQuanYi Zen Hei"/>
        <family val="2"/>
      </rPr>
      <t xml:space="preserve">이라 </t>
    </r>
    <r>
      <rPr>
        <sz val="9"/>
        <color rgb="FF404040"/>
        <rFont val="맑은 고딕"/>
        <family val="0"/>
        <charset val="1"/>
      </rPr>
      <t xml:space="preserve">VCM AF</t>
    </r>
    <r>
      <rPr>
        <sz val="9"/>
        <color rgb="FF404040"/>
        <rFont val="WenQuanYi Zen Hei"/>
        <family val="2"/>
      </rPr>
      <t xml:space="preserve">가 필수가 됩니다</t>
    </r>
    <r>
      <rPr>
        <sz val="9"/>
        <color rgb="FF404040"/>
        <rFont val="맑은 고딕"/>
        <family val="0"/>
        <charset val="1"/>
      </rPr>
      <t xml:space="preserve">. A</t>
    </r>
    <r>
      <rPr>
        <sz val="9"/>
        <color rgb="FF404040"/>
        <rFont val="WenQuanYi Zen Hei"/>
        <family val="2"/>
      </rPr>
      <t xml:space="preserve">안은 배율로 가서 심도 </t>
    </r>
    <r>
      <rPr>
        <sz val="9"/>
        <color rgb="FF404040"/>
        <rFont val="맑은 고딕"/>
        <family val="0"/>
        <charset val="1"/>
      </rPr>
      <t xml:space="preserve">35μm</t>
    </r>
    <r>
      <rPr>
        <sz val="9"/>
        <color rgb="FF404040"/>
        <rFont val="WenQuanYi Zen Hei"/>
        <family val="2"/>
      </rPr>
      <t xml:space="preserve">을 확보하므로 거리 고정 경통만으로도 운용이 가능합니다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</si>
  <si>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확인이 필요한 항목 — ① 타사 렌즈의 실제 </t>
    </r>
    <r>
      <rPr>
        <b val="true"/>
        <sz val="10"/>
        <color rgb="FF1F3864"/>
        <rFont val="맑은 고딕"/>
        <family val="0"/>
        <charset val="1"/>
      </rPr>
      <t xml:space="preserve">F</t>
    </r>
    <r>
      <rPr>
        <b val="true"/>
        <sz val="10"/>
        <color rgb="FF1F3864"/>
        <rFont val="WenQuanYi Zen Hei"/>
        <family val="2"/>
      </rPr>
      <t xml:space="preserve">값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분해능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심도가 여기서 갈림</t>
    </r>
    <r>
      <rPr>
        <b val="true"/>
        <sz val="10"/>
        <color rgb="FF1F3864"/>
        <rFont val="맑은 고딕"/>
        <family val="0"/>
        <charset val="1"/>
      </rPr>
      <t xml:space="preserve">) ② </t>
    </r>
    <r>
      <rPr>
        <b val="true"/>
        <sz val="10"/>
        <color rgb="FF1F3864"/>
        <rFont val="WenQuanYi Zen Hei"/>
        <family val="2"/>
      </rPr>
      <t xml:space="preserve">라이브뷰가 </t>
    </r>
    <r>
      <rPr>
        <b val="true"/>
        <sz val="10"/>
        <color rgb="FF1F3864"/>
        <rFont val="맑은 고딕"/>
        <family val="0"/>
        <charset val="1"/>
      </rPr>
      <t xml:space="preserve">3</t>
    </r>
    <r>
      <rPr>
        <b val="true"/>
        <sz val="10"/>
        <color rgb="FF1F3864"/>
        <rFont val="WenQuanYi Zen Hei"/>
        <family val="2"/>
      </rPr>
      <t xml:space="preserve">번의 </t>
    </r>
    <r>
      <rPr>
        <b val="true"/>
        <sz val="10"/>
        <color rgb="FF1F3864"/>
        <rFont val="맑은 고딕"/>
        <family val="0"/>
        <charset val="1"/>
      </rPr>
      <t xml:space="preserve">A·B·C </t>
    </r>
    <r>
      <rPr>
        <b val="true"/>
        <sz val="10"/>
        <color rgb="FF1F3864"/>
        <rFont val="WenQuanYi Zen Hei"/>
        <family val="2"/>
      </rPr>
      <t xml:space="preserve">중 어느 방식인지 ③ 현재 시제품의 배율 </t>
    </r>
    <r>
      <rPr>
        <b val="true"/>
        <sz val="10"/>
        <color rgb="FF1F3864"/>
        <rFont val="맑은 고딕"/>
        <family val="0"/>
        <charset val="1"/>
      </rPr>
      <t xml:space="preserve">0.4</t>
    </r>
    <r>
      <rPr>
        <b val="true"/>
        <sz val="10"/>
        <color rgb="FF1F3864"/>
        <rFont val="WenQuanYi Zen Hei"/>
        <family val="2"/>
      </rPr>
      <t xml:space="preserve">는 미측정값이므로 자로 시야 폭을 재서 확정 ④ </t>
    </r>
    <r>
      <rPr>
        <b val="true"/>
        <sz val="10"/>
        <color rgb="FF1F3864"/>
        <rFont val="맑은 고딕"/>
        <family val="0"/>
        <charset val="1"/>
      </rPr>
      <t xml:space="preserve">SC3336 </t>
    </r>
    <r>
      <rPr>
        <b val="true"/>
        <sz val="10"/>
        <color rgb="FF1F3864"/>
        <rFont val="WenQuanYi Zen Hei"/>
        <family val="2"/>
      </rPr>
      <t xml:space="preserve">픽셀 피치 </t>
    </r>
    <r>
      <rPr>
        <b val="true"/>
        <sz val="10"/>
        <color rgb="FF1F3864"/>
        <rFont val="맑은 고딕"/>
        <family val="0"/>
        <charset val="1"/>
      </rPr>
      <t xml:space="preserve">2.2μm</t>
    </r>
    <r>
      <rPr>
        <b val="true"/>
        <sz val="10"/>
        <color rgb="FF1F3864"/>
        <rFont val="WenQuanYi Zen Hei"/>
        <family val="2"/>
      </rPr>
      <t xml:space="preserve">은 </t>
    </r>
    <r>
      <rPr>
        <b val="true"/>
        <sz val="10"/>
        <color rgb="FF1F3864"/>
        <rFont val="맑은 고딕"/>
        <family val="0"/>
        <charset val="1"/>
      </rPr>
      <t xml:space="preserve">1/2.8" </t>
    </r>
    <r>
      <rPr>
        <b val="true"/>
        <sz val="10"/>
        <color rgb="FF1F3864"/>
        <rFont val="WenQuanYi Zen Hei"/>
        <family val="2"/>
      </rPr>
      <t xml:space="preserve">규격에서 역산한 값이므로 데이터시트로 확인</t>
    </r>
    <r>
      <rPr>
        <b val="true"/>
        <sz val="10"/>
        <color rgb="FF1F3864"/>
        <rFont val="맑은 고딕"/>
        <family val="0"/>
        <charset val="1"/>
      </rPr>
      <t xml:space="preserve">. ①②</t>
    </r>
    <r>
      <rPr>
        <b val="true"/>
        <sz val="10"/>
        <color rgb="FF1F3864"/>
        <rFont val="WenQuanYi Zen Hei"/>
        <family val="2"/>
      </rPr>
      <t xml:space="preserve">는 타사 제품을 실측하거나 분해해야 알 수 있고</t>
    </r>
    <r>
      <rPr>
        <b val="true"/>
        <sz val="10"/>
        <color rgb="FF1F3864"/>
        <rFont val="맑은 고딕"/>
        <family val="0"/>
        <charset val="1"/>
      </rPr>
      <t xml:space="preserve">, ③④</t>
    </r>
    <r>
      <rPr>
        <b val="true"/>
        <sz val="10"/>
        <color rgb="FF1F3864"/>
        <rFont val="WenQuanYi Zen Hei"/>
        <family val="2"/>
      </rPr>
      <t xml:space="preserve">는 지금 바로 확인 가능합니다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</si>
  <si>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하드웨어 설계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인증 관점 비교   </t>
    </r>
    <r>
      <rPr>
        <b val="true"/>
        <sz val="14"/>
        <color rgb="FF1F3864"/>
        <rFont val="맑은 고딕"/>
        <family val="0"/>
        <charset val="1"/>
      </rPr>
      <t xml:space="preserve">|   1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SIP </t>
    </r>
    <r>
      <rPr>
        <b val="true"/>
        <sz val="14"/>
        <color rgb="FF1F3864"/>
        <rFont val="WenQuanYi Zen Hei"/>
        <family val="2"/>
      </rPr>
      <t xml:space="preserve">내장 메모리  </t>
    </r>
    <r>
      <rPr>
        <b val="true"/>
        <sz val="14"/>
        <color rgb="FF1F3864"/>
        <rFont val="맑은 고딕"/>
        <family val="0"/>
        <charset val="1"/>
      </rPr>
      <t xml:space="preserve">vs  2</t>
    </r>
    <r>
      <rPr>
        <b val="true"/>
        <sz val="14"/>
        <color rgb="FF1F3864"/>
        <rFont val="WenQuanYi Zen Hei"/>
        <family val="2"/>
      </rPr>
      <t xml:space="preserve">안 외장 </t>
    </r>
    <r>
      <rPr>
        <b val="true"/>
        <sz val="14"/>
        <color rgb="FF1F3864"/>
        <rFont val="맑은 고딕"/>
        <family val="0"/>
        <charset val="1"/>
      </rPr>
      <t xml:space="preserve">DDR3</t>
    </r>
  </si>
  <si>
    <r>
      <rPr>
        <i val="true"/>
        <sz val="9"/>
        <color rgb="FF7F7F7F"/>
        <rFont val="WenQuanYi Zen Hei"/>
        <family val="2"/>
      </rPr>
      <t xml:space="preserve">메모리 내장은 부품비 </t>
    </r>
    <r>
      <rPr>
        <i val="true"/>
        <sz val="9"/>
        <color rgb="FF7F7F7F"/>
        <rFont val="맑은 고딕"/>
        <family val="0"/>
        <charset val="1"/>
      </rPr>
      <t xml:space="preserve">34,200</t>
    </r>
    <r>
      <rPr>
        <i val="true"/>
        <sz val="9"/>
        <color rgb="FF7F7F7F"/>
        <rFont val="WenQuanYi Zen Hei"/>
        <family val="2"/>
      </rPr>
      <t xml:space="preserve">원 절감에서 끝나지 않고 기판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검증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인증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양산까지 영향을 미칩니다</t>
    </r>
    <r>
      <rPr>
        <i val="true"/>
        <sz val="9"/>
        <color rgb="FF7F7F7F"/>
        <rFont val="맑은 고딕"/>
        <family val="0"/>
        <charset val="1"/>
      </rPr>
      <t xml:space="preserve">. 2</t>
    </r>
    <r>
      <rPr>
        <i val="true"/>
        <sz val="9"/>
        <color rgb="FF7F7F7F"/>
        <rFont val="WenQuanYi Zen Hei"/>
        <family val="2"/>
      </rPr>
      <t xml:space="preserve">안은 </t>
    </r>
    <r>
      <rPr>
        <i val="true"/>
        <sz val="9"/>
        <color rgb="FF7F7F7F"/>
        <rFont val="맑은 고딕"/>
        <family val="0"/>
        <charset val="1"/>
      </rPr>
      <t xml:space="preserve">32</t>
    </r>
    <r>
      <rPr>
        <i val="true"/>
        <sz val="9"/>
        <color rgb="FF7F7F7F"/>
        <rFont val="WenQuanYi Zen Hei"/>
        <family val="2"/>
      </rPr>
      <t xml:space="preserve">비트 </t>
    </r>
    <r>
      <rPr>
        <i val="true"/>
        <sz val="9"/>
        <color rgb="FF7F7F7F"/>
        <rFont val="맑은 고딕"/>
        <family val="0"/>
        <charset val="1"/>
      </rPr>
      <t xml:space="preserve">DDR3 </t>
    </r>
    <r>
      <rPr>
        <i val="true"/>
        <sz val="9"/>
        <color rgb="FF7F7F7F"/>
        <rFont val="WenQuanYi Zen Hei"/>
        <family val="2"/>
      </rPr>
      <t xml:space="preserve">버스</t>
    </r>
    <r>
      <rPr>
        <i val="true"/>
        <sz val="9"/>
        <color rgb="FF7F7F7F"/>
        <rFont val="맑은 고딕"/>
        <family val="0"/>
        <charset val="1"/>
      </rPr>
      <t xml:space="preserve">(H5TQ4G63EFR ×2 = 1GB) </t>
    </r>
    <r>
      <rPr>
        <i val="true"/>
        <sz val="9"/>
        <color rgb="FF7F7F7F"/>
        <rFont val="WenQuanYi Zen Hei"/>
        <family val="2"/>
      </rPr>
      <t xml:space="preserve">기준입니다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</si>
  <si>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기판</t>
    </r>
    <r>
      <rPr>
        <b val="true"/>
        <sz val="12"/>
        <color rgb="FF1F3864"/>
        <rFont val="맑은 고딕"/>
        <family val="0"/>
        <charset val="1"/>
      </rPr>
      <t xml:space="preserve">(PCB) </t>
    </r>
    <r>
      <rPr>
        <b val="true"/>
        <sz val="12"/>
        <color rgb="FF1F3864"/>
        <rFont val="WenQuanYi Zen Hei"/>
        <family val="2"/>
      </rPr>
      <t xml:space="preserve">설계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</si>
  <si>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SIP </t>
    </r>
    <r>
      <rPr>
        <b val="true"/>
        <sz val="10"/>
        <color rgb="FFFFFFFF"/>
        <rFont val="WenQuanYi Zen Hei"/>
        <family val="2"/>
      </rPr>
      <t xml:space="preserve">내장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</si>
  <si>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외장 </t>
    </r>
    <r>
      <rPr>
        <b val="true"/>
        <sz val="10"/>
        <color rgb="FFFFFFFF"/>
        <rFont val="맑은 고딕"/>
        <family val="0"/>
        <charset val="1"/>
      </rPr>
      <t xml:space="preserve">DDR3 32bit</t>
    </r>
  </si>
  <si>
    <t xml:space="preserve">배선해야 할 신호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</si>
  <si>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(DQ 32 + DQS 4</t>
    </r>
    <r>
      <rPr>
        <sz val="10"/>
        <rFont val="WenQuanYi Zen Hei"/>
        <family val="2"/>
      </rPr>
      <t xml:space="preserve">쌍 </t>
    </r>
    <r>
      <rPr>
        <sz val="10"/>
        <rFont val="맑은 고딕"/>
        <family val="0"/>
        <charset val="1"/>
      </rPr>
      <t xml:space="preserve">+ DM 4 + </t>
    </r>
    <r>
      <rPr>
        <sz val="10"/>
        <rFont val="WenQuanYi Zen Hei"/>
        <family val="2"/>
      </rPr>
      <t xml:space="preserve">주소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커맨드 약 </t>
    </r>
    <r>
      <rPr>
        <sz val="10"/>
        <rFont val="맑은 고딕"/>
        <family val="0"/>
        <charset val="1"/>
      </rPr>
      <t xml:space="preserve">16 + CK/CKE/CS/ODT)</t>
    </r>
  </si>
  <si>
    <r>
      <rPr>
        <sz val="9"/>
        <color rgb="FF404040"/>
        <rFont val="맑은 고딕"/>
        <family val="0"/>
        <charset val="1"/>
      </rPr>
      <t xml:space="preserve">DDR </t>
    </r>
    <r>
      <rPr>
        <sz val="9"/>
        <color rgb="FF404040"/>
        <rFont val="WenQuanYi Zen Hei"/>
        <family val="2"/>
      </rPr>
      <t xml:space="preserve">버스는 전부 길이 정합</t>
    </r>
    <r>
      <rPr>
        <sz val="9"/>
        <color rgb="FF404040"/>
        <rFont val="맑은 고딕"/>
        <family val="0"/>
        <charset val="1"/>
      </rPr>
      <t xml:space="preserve">(length matching)</t>
    </r>
    <r>
      <rPr>
        <sz val="9"/>
        <color rgb="FF404040"/>
        <rFont val="WenQuanYi Zen Hei"/>
        <family val="2"/>
      </rPr>
      <t xml:space="preserve">과 임피던스 제어 대상입니다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</si>
  <si>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배선 제약</t>
  </si>
  <si>
    <t xml:space="preserve">해당 없음</t>
  </si>
  <si>
    <r>
      <rPr>
        <sz val="10"/>
        <rFont val="WenQuanYi Zen Hei"/>
        <family val="2"/>
      </rPr>
      <t xml:space="preserve">단일 </t>
    </r>
    <r>
      <rPr>
        <sz val="10"/>
        <rFont val="맑은 고딕"/>
        <family val="0"/>
        <charset val="1"/>
      </rPr>
      <t xml:space="preserve">40~50Ω · </t>
    </r>
    <r>
      <rPr>
        <sz val="10"/>
        <rFont val="WenQuanYi Zen Hei"/>
        <family val="2"/>
      </rPr>
      <t xml:space="preserve">차동 </t>
    </r>
    <r>
      <rPr>
        <sz val="10"/>
        <rFont val="맑은 고딕"/>
        <family val="0"/>
        <charset val="1"/>
      </rPr>
      <t xml:space="preserve">80~100Ω </t>
    </r>
    <r>
      <rPr>
        <sz val="10"/>
        <rFont val="WenQuanYi Zen Hei"/>
        <family val="2"/>
      </rPr>
      <t xml:space="preserve">임피던스 제어</t>
    </r>
    <r>
      <rPr>
        <sz val="10"/>
        <rFont val="맑은 고딕"/>
        <family val="0"/>
        <charset val="1"/>
      </rPr>
      <t xml:space="preserve">, fly-by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T </t>
    </r>
    <r>
      <rPr>
        <sz val="10"/>
        <rFont val="WenQuanYi Zen Hei"/>
        <family val="2"/>
      </rPr>
      <t xml:space="preserve">토폴로지 결정</t>
    </r>
  </si>
  <si>
    <r>
      <rPr>
        <sz val="9"/>
        <color rgb="FF404040"/>
        <rFont val="WenQuanYi Zen Hei"/>
        <family val="2"/>
      </rPr>
      <t xml:space="preserve">층 구성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스택업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이 임피던스에 묶여 자유도가 크게 줄어듭니다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</si>
  <si>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기판 층수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</si>
  <si>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조건에 따라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층도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</si>
  <si>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실무상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층 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</si>
  <si>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★ 기판 단가는 층수에 거의 비례합니다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부품비와 별개로 발생하는 직접 원가 차이입니다</t>
    </r>
    <r>
      <rPr>
        <sz val="9"/>
        <color rgb="FF404040"/>
        <rFont val="맑은 고딕"/>
        <family val="0"/>
        <charset val="1"/>
      </rPr>
      <t xml:space="preserve">. (</t>
    </r>
    <r>
      <rPr>
        <sz val="9"/>
        <color rgb="FF404040"/>
        <rFont val="WenQuanYi Zen Hei"/>
        <family val="2"/>
      </rPr>
      <t xml:space="preserve">일반론 — 실제 층수는 최종 배치에 따라 확정</t>
    </r>
    <r>
      <rPr>
        <sz val="9"/>
        <color rgb="FF404040"/>
        <rFont val="맑은 고딕"/>
        <family val="0"/>
        <charset val="1"/>
      </rPr>
      <t xml:space="preserve">)</t>
    </r>
  </si>
  <si>
    <t xml:space="preserve">기판 면적</t>
  </si>
  <si>
    <t xml:space="preserve">작음</t>
  </si>
  <si>
    <r>
      <rPr>
        <sz val="10"/>
        <rFont val="맑은 고딕"/>
        <family val="0"/>
        <charset val="1"/>
      </rPr>
      <t xml:space="preserve">DRAM 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종단 저항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디커플링 캡 수십 개만큼 추가</t>
    </r>
  </si>
  <si>
    <r>
      <rPr>
        <sz val="9"/>
        <color rgb="FF404040"/>
        <rFont val="WenQuanYi Zen Hei"/>
        <family val="2"/>
      </rPr>
      <t xml:space="preserve">면적은 기판 단가와 케이스 크기에 함께 영향을 줍니다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</si>
  <si>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전기적 검증 공수 </t>
    </r>
    <r>
      <rPr>
        <b val="true"/>
        <sz val="12"/>
        <color rgb="FF1F3864"/>
        <rFont val="맑은 고딕"/>
        <family val="0"/>
        <charset val="1"/>
      </rPr>
      <t xml:space="preserve">(SI / PI)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</si>
  <si>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외장 </t>
    </r>
    <r>
      <rPr>
        <b val="true"/>
        <sz val="10"/>
        <color rgb="FFFFFFFF"/>
        <rFont val="맑은 고딕"/>
        <family val="0"/>
        <charset val="1"/>
      </rPr>
      <t xml:space="preserve">DDR3</t>
    </r>
  </si>
  <si>
    <r>
      <rPr>
        <b val="true"/>
        <sz val="10"/>
        <rFont val="WenQuanYi Zen Hei"/>
        <family val="2"/>
      </rPr>
      <t xml:space="preserve">신호 무결성 </t>
    </r>
    <r>
      <rPr>
        <b val="true"/>
        <sz val="10"/>
        <rFont val="맑은 고딕"/>
        <family val="0"/>
        <charset val="1"/>
      </rPr>
      <t xml:space="preserve">(SI)</t>
    </r>
  </si>
  <si>
    <t xml:space="preserve">칩 제조사가 검증 완료 — 설계자가 할 일 없음</t>
  </si>
  <si>
    <r>
      <rPr>
        <sz val="10"/>
        <rFont val="맑은 고딕"/>
        <family val="0"/>
        <charset val="1"/>
      </rPr>
      <t xml:space="preserve">SI </t>
    </r>
    <r>
      <rPr>
        <sz val="10"/>
        <rFont val="WenQuanYi Zen Hei"/>
        <family val="2"/>
      </rPr>
      <t xml:space="preserve">시뮬레이션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아이 다이어그램 검증</t>
    </r>
    <r>
      <rPr>
        <sz val="10"/>
        <rFont val="맑은 고딕"/>
        <family val="0"/>
        <charset val="1"/>
      </rPr>
      <t xml:space="preserve">, DDR </t>
    </r>
    <r>
      <rPr>
        <sz val="10"/>
        <rFont val="WenQuanYi Zen Hei"/>
        <family val="2"/>
      </rPr>
      <t xml:space="preserve">트레이닝 마진 확인 필요</t>
    </r>
  </si>
  <si>
    <r>
      <rPr>
        <sz val="9"/>
        <color rgb="FF404040"/>
        <rFont val="WenQuanYi Zen Hei"/>
        <family val="2"/>
      </rPr>
      <t xml:space="preserve">★ 외부 </t>
    </r>
    <r>
      <rPr>
        <sz val="9"/>
        <color rgb="FF404040"/>
        <rFont val="맑은 고딕"/>
        <family val="0"/>
        <charset val="1"/>
      </rPr>
      <t xml:space="preserve">DDR</t>
    </r>
    <r>
      <rPr>
        <sz val="9"/>
        <color rgb="FF404040"/>
        <rFont val="WenQuanYi Zen Hei"/>
        <family val="2"/>
      </rPr>
      <t xml:space="preserve">는 온도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전압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양산 편차에 따라 트레이닝이 실패할 수 있어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코너 조건까지 확인해야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</si>
  <si>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전원 무결성 </t>
    </r>
    <r>
      <rPr>
        <b val="true"/>
        <sz val="10"/>
        <rFont val="맑은 고딕"/>
        <family val="0"/>
        <charset val="1"/>
      </rPr>
      <t xml:space="preserve">(PI)</t>
    </r>
  </si>
  <si>
    <t xml:space="preserve">코어 전원만 관리</t>
  </si>
  <si>
    <r>
      <rPr>
        <sz val="10"/>
        <rFont val="맑은 고딕"/>
        <family val="0"/>
        <charset val="1"/>
      </rPr>
      <t xml:space="preserve">DDR3L 1.35V </t>
    </r>
    <r>
      <rPr>
        <sz val="10"/>
        <rFont val="WenQuanYi Zen Hei"/>
        <family val="2"/>
      </rPr>
      <t xml:space="preserve">레일 </t>
    </r>
    <r>
      <rPr>
        <sz val="10"/>
        <rFont val="맑은 고딕"/>
        <family val="0"/>
        <charset val="1"/>
      </rPr>
      <t xml:space="preserve">+ VTT </t>
    </r>
    <r>
      <rPr>
        <sz val="10"/>
        <rFont val="WenQuanYi Zen Hei"/>
        <family val="2"/>
      </rPr>
      <t xml:space="preserve">종단 전원 추가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디커플링 캡 수십 개</t>
    </r>
  </si>
  <si>
    <r>
      <rPr>
        <sz val="9"/>
        <color rgb="FF404040"/>
        <rFont val="WenQuanYi Zen Hei"/>
        <family val="2"/>
      </rPr>
      <t xml:space="preserve">전원 레일이 늘면 </t>
    </r>
    <r>
      <rPr>
        <sz val="9"/>
        <color rgb="FF404040"/>
        <rFont val="맑은 고딕"/>
        <family val="0"/>
        <charset val="1"/>
      </rPr>
      <t xml:space="preserve">PMIC </t>
    </r>
    <r>
      <rPr>
        <sz val="9"/>
        <color rgb="FF404040"/>
        <rFont val="WenQuanYi Zen Hei"/>
        <family val="2"/>
      </rPr>
      <t xml:space="preserve">채널과 인덕터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캡이 함께 늘어납니다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</si>
  <si>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디버깅 리스크</t>
  </si>
  <si>
    <t xml:space="preserve">낮음 — 메모리는 이미 동작이 보장된 상태에서 시작</t>
  </si>
  <si>
    <r>
      <rPr>
        <sz val="10"/>
        <rFont val="WenQuanYi Zen Hei"/>
        <family val="2"/>
      </rPr>
      <t xml:space="preserve">높음 — 초기 부팅 불가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간헐적 행</t>
    </r>
    <r>
      <rPr>
        <sz val="10"/>
        <rFont val="맑은 고딕"/>
        <family val="0"/>
        <charset val="1"/>
      </rPr>
      <t xml:space="preserve">(hang)</t>
    </r>
    <r>
      <rPr>
        <sz val="10"/>
        <rFont val="WenQuanYi Zen Hei"/>
        <family val="2"/>
      </rPr>
      <t xml:space="preserve">의 원인이 메모리인지 판별하는 데 시간이 소요</t>
    </r>
  </si>
  <si>
    <r>
      <rPr>
        <sz val="9"/>
        <color rgb="FF404040"/>
        <rFont val="WenQuanYi Zen Hei"/>
        <family val="2"/>
      </rPr>
      <t xml:space="preserve">시제품 단계에서 일정 리스크로 직결되는 항목입니다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</si>
  <si>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EMC · </t>
    </r>
    <r>
      <rPr>
        <b val="true"/>
        <sz val="12"/>
        <color rgb="FF1F3864"/>
        <rFont val="WenQuanYi Zen Hei"/>
        <family val="2"/>
      </rPr>
      <t xml:space="preserve">인증 시험</t>
    </r>
  </si>
  <si>
    <t xml:space="preserve">방사 노이즈원</t>
  </si>
  <si>
    <r>
      <rPr>
        <sz val="10"/>
        <rFont val="WenQuanYi Zen Hei"/>
        <family val="2"/>
      </rPr>
      <t xml:space="preserve">패키지 내부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배선 길이 </t>
    </r>
    <r>
      <rPr>
        <sz val="10"/>
        <rFont val="맑은 고딕"/>
        <family val="0"/>
        <charset val="1"/>
      </rPr>
      <t xml:space="preserve">mm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</si>
  <si>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기판 위 배선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길이 </t>
    </r>
    <r>
      <rPr>
        <sz val="10"/>
        <rFont val="맑은 고딕"/>
        <family val="0"/>
        <charset val="1"/>
      </rPr>
      <t xml:space="preserve">cm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</si>
  <si>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★ 방사량은 배선 길이와 루프 면적에 비례합니다</t>
    </r>
    <r>
      <rPr>
        <sz val="9"/>
        <color rgb="FF404040"/>
        <rFont val="맑은 고딕"/>
        <family val="0"/>
        <charset val="1"/>
      </rPr>
      <t xml:space="preserve">. SIP</t>
    </r>
    <r>
      <rPr>
        <sz val="9"/>
        <color rgb="FF404040"/>
        <rFont val="WenQuanYi Zen Hei"/>
        <family val="2"/>
      </rPr>
      <t xml:space="preserve">는 이 안테나 역할을 하는 배선이 패키지 안에 갇혀 있어 기판 밖으로 나가는 방사가 크게 줄어듭니다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</si>
  <si>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KC / CE / FCC </t>
    </r>
    <r>
      <rPr>
        <b val="true"/>
        <sz val="10"/>
        <rFont val="WenQuanYi Zen Hei"/>
        <family val="2"/>
      </rPr>
      <t xml:space="preserve">방사 시험</t>
    </r>
  </si>
  <si>
    <t xml:space="preserve">통과 여유가 큼</t>
  </si>
  <si>
    <r>
      <rPr>
        <sz val="10"/>
        <rFont val="맑은 고딕"/>
        <family val="0"/>
        <charset val="1"/>
      </rPr>
      <t xml:space="preserve">DDR </t>
    </r>
    <r>
      <rPr>
        <sz val="10"/>
        <rFont val="WenQuanYi Zen Hei"/>
        <family val="2"/>
      </rPr>
      <t xml:space="preserve">클럭 하모닉이 주요 탈락 원인 중 하나</t>
    </r>
  </si>
  <si>
    <r>
      <rPr>
        <sz val="9"/>
        <color rgb="FF404040"/>
        <rFont val="WenQuanYi Zen Hei"/>
        <family val="2"/>
      </rPr>
      <t xml:space="preserve">탈락 시 차폐캔 추가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스펙트럼 확산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재설계 후 재시험이 필요해 비용과 일정이 함께 늘어납니다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</si>
  <si>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대응 수단</t>
  </si>
  <si>
    <t xml:space="preserve">특별한 대응 불필요</t>
  </si>
  <si>
    <r>
      <rPr>
        <sz val="10"/>
        <rFont val="WenQuanYi Zen Hei"/>
        <family val="2"/>
      </rPr>
      <t xml:space="preserve">차폐캔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스펙트럼 확산</t>
    </r>
    <r>
      <rPr>
        <sz val="10"/>
        <rFont val="맑은 고딕"/>
        <family val="0"/>
        <charset val="1"/>
      </rPr>
      <t xml:space="preserve">(SSC), </t>
    </r>
    <r>
      <rPr>
        <sz val="10"/>
        <rFont val="WenQuanYi Zen Hei"/>
        <family val="2"/>
      </rPr>
      <t xml:space="preserve">클럭 주파수 조정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배치 분리</t>
    </r>
  </si>
  <si>
    <r>
      <rPr>
        <sz val="9"/>
        <color rgb="FF404040"/>
        <rFont val="WenQuanYi Zen Hei"/>
        <family val="2"/>
      </rPr>
      <t xml:space="preserve">모두 원가나 성능을 대가로 지불하는 수단입니다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</si>
  <si>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전도 노이즈</t>
  </si>
  <si>
    <t xml:space="preserve">전원 레일이 단순해 유리</t>
  </si>
  <si>
    <r>
      <rPr>
        <sz val="10"/>
        <rFont val="맑은 고딕"/>
        <family val="0"/>
        <charset val="1"/>
      </rPr>
      <t xml:space="preserve">DDR </t>
    </r>
    <r>
      <rPr>
        <sz val="10"/>
        <rFont val="WenQuanYi Zen Hei"/>
        <family val="2"/>
      </rPr>
      <t xml:space="preserve">전원 레일의 스위칭 전류가 추가됨</t>
    </r>
  </si>
  <si>
    <r>
      <rPr>
        <b val="true"/>
        <sz val="9"/>
        <color rgb="FF806000"/>
        <rFont val="WenQuanYi Zen Hei"/>
        <family val="2"/>
      </rPr>
      <t xml:space="preserve">⚠ 정확히 하자면 — </t>
    </r>
    <r>
      <rPr>
        <b val="true"/>
        <sz val="9"/>
        <color rgb="FF806000"/>
        <rFont val="맑은 고딕"/>
        <family val="0"/>
        <charset val="1"/>
      </rPr>
      <t xml:space="preserve">SIP</t>
    </r>
    <r>
      <rPr>
        <b val="true"/>
        <sz val="9"/>
        <color rgb="FF806000"/>
        <rFont val="WenQuanYi Zen Hei"/>
        <family val="2"/>
      </rPr>
      <t xml:space="preserve">가 노이즈를 없애는 것은 아닙니다</t>
    </r>
    <r>
      <rPr>
        <b val="true"/>
        <sz val="9"/>
        <color rgb="FF806000"/>
        <rFont val="맑은 고딕"/>
        <family val="0"/>
        <charset val="1"/>
      </rPr>
      <t xml:space="preserve">. DRAM </t>
    </r>
    <r>
      <rPr>
        <b val="true"/>
        <sz val="9"/>
        <color rgb="FF806000"/>
        <rFont val="WenQuanYi Zen Hei"/>
        <family val="2"/>
      </rPr>
      <t xml:space="preserve">다이는 여전히 스위칭하고 전류를 끌어씁니다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다만 방사의 주된 원인은 기판 위를 지나는 긴 배선이고</t>
    </r>
    <r>
      <rPr>
        <b val="true"/>
        <sz val="9"/>
        <color rgb="FF806000"/>
        <rFont val="맑은 고딕"/>
        <family val="0"/>
        <charset val="1"/>
      </rPr>
      <t xml:space="preserve">, SIP</t>
    </r>
    <r>
      <rPr>
        <b val="true"/>
        <sz val="9"/>
        <color rgb="FF806000"/>
        <rFont val="WenQuanYi Zen Hei"/>
        <family val="2"/>
      </rPr>
      <t xml:space="preserve">는 그 배선을 패키지 안 </t>
    </r>
    <r>
      <rPr>
        <b val="true"/>
        <sz val="9"/>
        <color rgb="FF806000"/>
        <rFont val="맑은 고딕"/>
        <family val="0"/>
        <charset val="1"/>
      </rPr>
      <t xml:space="preserve">mm </t>
    </r>
    <r>
      <rPr>
        <b val="true"/>
        <sz val="9"/>
        <color rgb="FF806000"/>
        <rFont val="WenQuanYi Zen Hei"/>
        <family val="2"/>
      </rPr>
      <t xml:space="preserve">단위로 가둡니다</t>
    </r>
    <r>
      <rPr>
        <b val="true"/>
        <sz val="9"/>
        <color rgb="FF806000"/>
        <rFont val="맑은 고딕"/>
        <family val="0"/>
        <charset val="1"/>
      </rPr>
      <t xml:space="preserve">. "</t>
    </r>
    <r>
      <rPr>
        <b val="true"/>
        <sz val="9"/>
        <color rgb="FF806000"/>
        <rFont val="WenQuanYi Zen Hei"/>
        <family val="2"/>
      </rPr>
      <t xml:space="preserve">없어진다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가 아니라 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크게 줄고</t>
    </r>
    <r>
      <rPr>
        <b val="true"/>
        <sz val="9"/>
        <color rgb="FF806000"/>
        <rFont val="맑은 고딕"/>
        <family val="0"/>
        <charset val="1"/>
      </rPr>
      <t xml:space="preserve">, </t>
    </r>
    <r>
      <rPr>
        <b val="true"/>
        <sz val="9"/>
        <color rgb="FF806000"/>
        <rFont val="WenQuanYi Zen Hei"/>
        <family val="2"/>
      </rPr>
      <t xml:space="preserve">설계자가 관리할 대상에서 빠진다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가 정확한 표현입니다</t>
    </r>
    <r>
      <rPr>
        <b val="true"/>
        <sz val="9"/>
        <color rgb="FF80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</si>
  <si>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WiFi </t>
    </r>
    <r>
      <rPr>
        <b val="true"/>
        <sz val="12"/>
        <color rgb="FF1F3864"/>
        <rFont val="WenQuanYi Zen Hei"/>
        <family val="2"/>
      </rPr>
      <t xml:space="preserve">공존 — 이 제품에 직접 영향</t>
    </r>
  </si>
  <si>
    <r>
      <rPr>
        <b val="true"/>
        <sz val="10"/>
        <rFont val="맑은 고딕"/>
        <family val="0"/>
        <charset val="1"/>
      </rPr>
      <t xml:space="preserve">2.4GHz </t>
    </r>
    <r>
      <rPr>
        <b val="true"/>
        <sz val="10"/>
        <rFont val="WenQuanYi Zen Hei"/>
        <family val="2"/>
      </rPr>
      <t xml:space="preserve">대역</t>
    </r>
  </si>
  <si>
    <t xml:space="preserve">~</t>
  </si>
  <si>
    <t xml:space="preserve">MHz</t>
  </si>
  <si>
    <r>
      <rPr>
        <sz val="9"/>
        <color rgb="FF404040"/>
        <rFont val="맑은 고딕"/>
        <family val="0"/>
        <charset val="1"/>
      </rPr>
      <t xml:space="preserve">ISM </t>
    </r>
    <r>
      <rPr>
        <sz val="9"/>
        <color rgb="FF404040"/>
        <rFont val="WenQuanYi Zen Hei"/>
        <family val="2"/>
      </rPr>
      <t xml:space="preserve">대역 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입력값</t>
    </r>
    <r>
      <rPr>
        <sz val="9"/>
        <color rgb="FF40404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</si>
  <si>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DDR3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</si>
  <si>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클럭</t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</si>
  <si>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차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</si>
  <si>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차</t>
    </r>
  </si>
  <si>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차</t>
    </r>
  </si>
  <si>
    <r>
      <rPr>
        <b val="true"/>
        <sz val="10"/>
        <color rgb="FFFFFFFF"/>
        <rFont val="맑은 고딕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차</t>
    </r>
  </si>
  <si>
    <r>
      <rPr>
        <b val="true"/>
        <sz val="10"/>
        <color rgb="FFFFFFFF"/>
        <rFont val="맑은 고딕"/>
        <family val="0"/>
        <charset val="1"/>
      </rPr>
      <t xml:space="preserve">2.4GHz </t>
    </r>
    <r>
      <rPr>
        <b val="true"/>
        <sz val="10"/>
        <color rgb="FFFFFFFF"/>
        <rFont val="WenQuanYi Zen Hei"/>
        <family val="2"/>
      </rPr>
      <t xml:space="preserve">대역 충돌</t>
    </r>
  </si>
  <si>
    <t xml:space="preserve">DDR3-1066</t>
  </si>
  <si>
    <t xml:space="preserve">DDR3-1333</t>
  </si>
  <si>
    <t xml:space="preserve">DDR3-1600</t>
  </si>
  <si>
    <t xml:space="preserve">DDR3-1866</t>
  </si>
  <si>
    <t xml:space="preserve">DDR3-2133</t>
  </si>
  <si>
    <r>
      <rPr>
        <b val="true"/>
        <sz val="9"/>
        <color rgb="FF806000"/>
        <rFont val="맑은 고딕"/>
        <family val="0"/>
        <charset val="1"/>
      </rPr>
      <t xml:space="preserve">★ DDR3-1600</t>
    </r>
    <r>
      <rPr>
        <b val="true"/>
        <sz val="9"/>
        <color rgb="FF806000"/>
        <rFont val="WenQuanYi Zen Hei"/>
        <family val="2"/>
      </rPr>
      <t xml:space="preserve">은 클럭 </t>
    </r>
    <r>
      <rPr>
        <b val="true"/>
        <sz val="9"/>
        <color rgb="FF806000"/>
        <rFont val="맑은 고딕"/>
        <family val="0"/>
        <charset val="1"/>
      </rPr>
      <t xml:space="preserve">800MHz</t>
    </r>
    <r>
      <rPr>
        <b val="true"/>
        <sz val="9"/>
        <color rgb="FF806000"/>
        <rFont val="WenQuanYi Zen Hei"/>
        <family val="2"/>
      </rPr>
      <t xml:space="preserve">의 </t>
    </r>
    <r>
      <rPr>
        <b val="true"/>
        <sz val="9"/>
        <color rgb="FF806000"/>
        <rFont val="맑은 고딕"/>
        <family val="0"/>
        <charset val="1"/>
      </rPr>
      <t xml:space="preserve">3</t>
    </r>
    <r>
      <rPr>
        <b val="true"/>
        <sz val="9"/>
        <color rgb="FF806000"/>
        <rFont val="WenQuanYi Zen Hei"/>
        <family val="2"/>
      </rPr>
      <t xml:space="preserve">차 하모닉이 정확히 </t>
    </r>
    <r>
      <rPr>
        <b val="true"/>
        <sz val="9"/>
        <color rgb="FF806000"/>
        <rFont val="맑은 고딕"/>
        <family val="0"/>
        <charset val="1"/>
      </rPr>
      <t xml:space="preserve">2,400MHz</t>
    </r>
    <r>
      <rPr>
        <b val="true"/>
        <sz val="9"/>
        <color rgb="FF806000"/>
        <rFont val="WenQuanYi Zen Hei"/>
        <family val="2"/>
      </rPr>
      <t xml:space="preserve">로</t>
    </r>
    <r>
      <rPr>
        <b val="true"/>
        <sz val="9"/>
        <color rgb="FF806000"/>
        <rFont val="맑은 고딕"/>
        <family val="0"/>
        <charset val="1"/>
      </rPr>
      <t xml:space="preserve">, 2.4GHz WiFi </t>
    </r>
    <r>
      <rPr>
        <b val="true"/>
        <sz val="9"/>
        <color rgb="FF806000"/>
        <rFont val="WenQuanYi Zen Hei"/>
        <family val="2"/>
      </rPr>
      <t xml:space="preserve">대역의 시작점과 겹칩니다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이 노이즈가 </t>
    </r>
    <r>
      <rPr>
        <b val="true"/>
        <sz val="9"/>
        <color rgb="FF806000"/>
        <rFont val="맑은 고딕"/>
        <family val="0"/>
        <charset val="1"/>
      </rPr>
      <t xml:space="preserve">WiFi </t>
    </r>
    <r>
      <rPr>
        <b val="true"/>
        <sz val="9"/>
        <color rgb="FF806000"/>
        <rFont val="WenQuanYi Zen Hei"/>
        <family val="2"/>
      </rPr>
      <t xml:space="preserve">수신기의 바닥 잡음을 끌어올리면 수신 감도가 떨어지는 디센스</t>
    </r>
    <r>
      <rPr>
        <b val="true"/>
        <sz val="9"/>
        <color rgb="FF806000"/>
        <rFont val="맑은 고딕"/>
        <family val="0"/>
        <charset val="1"/>
      </rPr>
      <t xml:space="preserve">(desense)</t>
    </r>
    <r>
      <rPr>
        <b val="true"/>
        <sz val="9"/>
        <color rgb="FF806000"/>
        <rFont val="WenQuanYi Zen Hei"/>
        <family val="2"/>
      </rPr>
      <t xml:space="preserve">가 생기고</t>
    </r>
    <r>
      <rPr>
        <b val="true"/>
        <sz val="9"/>
        <color rgb="FF806000"/>
        <rFont val="맑은 고딕"/>
        <family val="0"/>
        <charset val="1"/>
      </rPr>
      <t xml:space="preserve">, </t>
    </r>
    <r>
      <rPr>
        <b val="true"/>
        <sz val="9"/>
        <color rgb="FF806000"/>
        <rFont val="WenQuanYi Zen Hei"/>
        <family val="2"/>
      </rPr>
      <t xml:space="preserve">실사용에서는 전송 거리 단축과 스트리밍 끊김으로 나타납니다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이 제품은 </t>
    </r>
    <r>
      <rPr>
        <b val="true"/>
        <sz val="9"/>
        <color rgb="FF806000"/>
        <rFont val="맑은 고딕"/>
        <family val="0"/>
        <charset val="1"/>
      </rPr>
      <t xml:space="preserve">WiFi </t>
    </r>
    <r>
      <rPr>
        <b val="true"/>
        <sz val="9"/>
        <color rgb="FF806000"/>
        <rFont val="WenQuanYi Zen Hei"/>
        <family val="2"/>
      </rPr>
      <t xml:space="preserve">실시간 스트리밍이 핵심 기능이므로 성능에 직결됩니다</t>
    </r>
    <r>
      <rPr>
        <b val="true"/>
        <sz val="9"/>
        <color rgb="FF806000"/>
        <rFont val="맑은 고딕"/>
        <family val="0"/>
        <charset val="1"/>
      </rPr>
      <t xml:space="preserve">.</t>
    </r>
  </si>
  <si>
    <t xml:space="preserve">디센스 위험</t>
  </si>
  <si>
    <r>
      <rPr>
        <sz val="10"/>
        <rFont val="WenQuanYi Zen Hei"/>
        <family val="2"/>
      </rPr>
      <t xml:space="preserve">근본적으로 낮음 — 기판에 </t>
    </r>
    <r>
      <rPr>
        <sz val="10"/>
        <rFont val="맑은 고딕"/>
        <family val="0"/>
        <charset val="1"/>
      </rPr>
      <t xml:space="preserve">DDR </t>
    </r>
    <r>
      <rPr>
        <sz val="10"/>
        <rFont val="WenQuanYi Zen Hei"/>
        <family val="2"/>
      </rPr>
      <t xml:space="preserve">배선 자체가 없음</t>
    </r>
  </si>
  <si>
    <r>
      <rPr>
        <sz val="10"/>
        <rFont val="WenQuanYi Zen Hei"/>
        <family val="2"/>
      </rPr>
      <t xml:space="preserve">설계로 풀어야 함 — 클럭 조정</t>
    </r>
    <r>
      <rPr>
        <sz val="10"/>
        <rFont val="맑은 고딕"/>
        <family val="0"/>
        <charset val="1"/>
      </rPr>
      <t xml:space="preserve">, SSC, </t>
    </r>
    <r>
      <rPr>
        <sz val="10"/>
        <rFont val="WenQuanYi Zen Hei"/>
        <family val="2"/>
      </rPr>
      <t xml:space="preserve">차폐캔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배선 분리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</si>
  <si>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안은 외장 </t>
    </r>
    <r>
      <rPr>
        <sz val="9"/>
        <color rgb="FF404040"/>
        <rFont val="맑은 고딕"/>
        <family val="0"/>
        <charset val="1"/>
      </rPr>
      <t xml:space="preserve">DDR</t>
    </r>
    <r>
      <rPr>
        <sz val="9"/>
        <color rgb="FF404040"/>
        <rFont val="WenQuanYi Zen Hei"/>
        <family val="2"/>
      </rPr>
      <t xml:space="preserve">와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모듈이 같은 기판에 놓이므로 배치 단계부터 고려가 필요합니다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</si>
  <si>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영향</t>
  </si>
  <si>
    <r>
      <rPr>
        <sz val="10"/>
        <rFont val="WenQuanYi Zen Hei"/>
        <family val="2"/>
      </rPr>
      <t xml:space="preserve">전송 거리 단축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스트리밍 끊김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재전송 증가에 따른 지연 상승</t>
    </r>
  </si>
  <si>
    <r>
      <rPr>
        <sz val="9"/>
        <color rgb="FF404040"/>
        <rFont val="WenQuanYi Zen Hei"/>
        <family val="2"/>
      </rPr>
      <t xml:space="preserve">증상이 간헐적이라 원인 규명이 어렵고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양산 후 발견되면 대응 비용이 큽니다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</si>
  <si>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</t>
    </r>
    <r>
      <rPr>
        <b val="true"/>
        <sz val="12"/>
        <color rgb="FF1F3864"/>
        <rFont val="WenQuanYi Zen Hei"/>
        <family val="2"/>
      </rPr>
      <t xml:space="preserve">양산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검사</t>
    </r>
  </si>
  <si>
    <t xml:space="preserve">실장 공정</t>
  </si>
  <si>
    <r>
      <rPr>
        <sz val="10"/>
        <rFont val="맑은 고딕"/>
        <family val="0"/>
        <charset val="1"/>
      </rPr>
      <t xml:space="preserve">DRAM </t>
    </r>
    <r>
      <rPr>
        <sz val="10"/>
        <rFont val="WenQuanYi Zen Hei"/>
        <family val="2"/>
      </rPr>
      <t xml:space="preserve">실장 공정 없음</t>
    </r>
  </si>
  <si>
    <r>
      <rPr>
        <sz val="10"/>
        <rFont val="맑은 고딕"/>
        <family val="0"/>
        <charset val="1"/>
      </rPr>
      <t xml:space="preserve">BGA 2</t>
    </r>
    <r>
      <rPr>
        <sz val="10"/>
        <rFont val="WenQuanYi Zen Hei"/>
        <family val="2"/>
      </rPr>
      <t xml:space="preserve">개 실장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납땜 품질 관리</t>
    </r>
  </si>
  <si>
    <r>
      <rPr>
        <sz val="9"/>
        <color rgb="FF404040"/>
        <rFont val="맑은 고딕"/>
        <family val="0"/>
        <charset val="1"/>
      </rPr>
      <t xml:space="preserve">BGA</t>
    </r>
    <r>
      <rPr>
        <sz val="9"/>
        <color rgb="FF404040"/>
        <rFont val="WenQuanYi Zen Hei"/>
        <family val="2"/>
      </rPr>
      <t xml:space="preserve">는 육안 검사가 불가능해 </t>
    </r>
    <r>
      <rPr>
        <sz val="9"/>
        <color rgb="FF404040"/>
        <rFont val="맑은 고딕"/>
        <family val="0"/>
        <charset val="1"/>
      </rPr>
      <t xml:space="preserve">X-ray </t>
    </r>
    <r>
      <rPr>
        <sz val="9"/>
        <color rgb="FF404040"/>
        <rFont val="WenQuanYi Zen Hei"/>
        <family val="2"/>
      </rPr>
      <t xml:space="preserve">검사 공정이 필요합니다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</si>
  <si>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불량 요인</t>
  </si>
  <si>
    <r>
      <rPr>
        <sz val="10"/>
        <rFont val="WenQuanYi Zen Hei"/>
        <family val="2"/>
      </rPr>
      <t xml:space="preserve">납땜 보이드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냉납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미실장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방향 오조립</t>
    </r>
  </si>
  <si>
    <r>
      <rPr>
        <sz val="9"/>
        <color rgb="FF404040"/>
        <rFont val="WenQuanYi Zen Hei"/>
        <family val="2"/>
      </rPr>
      <t xml:space="preserve">부품 수가 늘수록 실장 불량률이 함께 올라갑니다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</si>
  <si>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검사 공정</t>
  </si>
  <si>
    <t xml:space="preserve">메모리 테스트 불필요</t>
  </si>
  <si>
    <t xml:space="preserve">메모리 동작 테스트 공정 추가</t>
  </si>
  <si>
    <r>
      <rPr>
        <sz val="9"/>
        <color rgb="FF404040"/>
        <rFont val="WenQuanYi Zen Hei"/>
        <family val="2"/>
      </rPr>
      <t xml:space="preserve">공정 시간이 늘면 대당 가공비가 올라갑니다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</si>
  <si>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신뢰성</t>
  </si>
  <si>
    <t xml:space="preserve">부품 수가 적어 유리</t>
  </si>
  <si>
    <r>
      <rPr>
        <sz val="10"/>
        <rFont val="맑은 고딕"/>
        <family val="0"/>
        <charset val="1"/>
      </rPr>
      <t xml:space="preserve">DRAM 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수동소자 수십 개 추가</t>
    </r>
  </si>
  <si>
    <r>
      <rPr>
        <sz val="9"/>
        <color rgb="FF404040"/>
        <rFont val="WenQuanYi Zen Hei"/>
        <family val="2"/>
      </rPr>
      <t xml:space="preserve">부품 수 감소는 </t>
    </r>
    <r>
      <rPr>
        <sz val="9"/>
        <color rgb="FF404040"/>
        <rFont val="맑은 고딕"/>
        <family val="0"/>
        <charset val="1"/>
      </rPr>
      <t xml:space="preserve">MTBF </t>
    </r>
    <r>
      <rPr>
        <sz val="9"/>
        <color rgb="FF404040"/>
        <rFont val="WenQuanYi Zen Hei"/>
        <family val="2"/>
      </rPr>
      <t xml:space="preserve">개선으로 이어집니다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</si>
  <si>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6. </t>
    </r>
    <r>
      <rPr>
        <b val="true"/>
        <sz val="12"/>
        <color rgb="FF1F3864"/>
        <rFont val="WenQuanYi Zen Hei"/>
        <family val="2"/>
      </rPr>
      <t xml:space="preserve">요약 — 부품비 </t>
    </r>
    <r>
      <rPr>
        <b val="true"/>
        <sz val="12"/>
        <color rgb="FF1F3864"/>
        <rFont val="맑은 고딕"/>
        <family val="0"/>
        <charset val="1"/>
      </rPr>
      <t xml:space="preserve">34,200</t>
    </r>
    <r>
      <rPr>
        <b val="true"/>
        <sz val="12"/>
        <color rgb="FF1F3864"/>
        <rFont val="WenQuanYi Zen Hei"/>
        <family val="2"/>
      </rPr>
      <t xml:space="preserve">원 밖에서 생기는 차이</t>
    </r>
  </si>
  <si>
    <t xml:space="preserve">직접 원가</t>
  </si>
  <si>
    <r>
      <rPr>
        <sz val="9"/>
        <color rgb="FF404040"/>
        <rFont val="WenQuanYi Zen Hei"/>
        <family val="2"/>
      </rPr>
      <t xml:space="preserve">기판 층수 감소</t>
    </r>
    <r>
      <rPr>
        <sz val="9"/>
        <color rgb="FF404040"/>
        <rFont val="맑은 고딕"/>
        <family val="0"/>
        <charset val="1"/>
      </rPr>
      <t xml:space="preserve">(6</t>
    </r>
    <r>
      <rPr>
        <sz val="9"/>
        <color rgb="FF404040"/>
        <rFont val="WenQuanYi Zen Hei"/>
        <family val="2"/>
      </rPr>
      <t xml:space="preserve">층 →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층</t>
    </r>
    <r>
      <rPr>
        <sz val="9"/>
        <color rgb="FF404040"/>
        <rFont val="맑은 고딕"/>
        <family val="0"/>
        <charset val="1"/>
      </rPr>
      <t xml:space="preserve">), </t>
    </r>
    <r>
      <rPr>
        <sz val="9"/>
        <color rgb="FF404040"/>
        <rFont val="WenQuanYi Zen Hei"/>
        <family val="2"/>
      </rPr>
      <t xml:space="preserve">기판 면적 감소</t>
    </r>
    <r>
      <rPr>
        <sz val="9"/>
        <color rgb="FF404040"/>
        <rFont val="맑은 고딕"/>
        <family val="0"/>
        <charset val="1"/>
      </rPr>
      <t xml:space="preserve">, DRAM </t>
    </r>
    <r>
      <rPr>
        <sz val="9"/>
        <color rgb="FF404040"/>
        <rFont val="WenQuanYi Zen Hei"/>
        <family val="2"/>
      </rPr>
      <t xml:space="preserve">실장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검사 공정 제거</t>
    </r>
  </si>
  <si>
    <t xml:space="preserve">개발 일정</t>
  </si>
  <si>
    <r>
      <rPr>
        <sz val="9"/>
        <color rgb="FF404040"/>
        <rFont val="맑은 고딕"/>
        <family val="0"/>
        <charset val="1"/>
      </rPr>
      <t xml:space="preserve">DDR </t>
    </r>
    <r>
      <rPr>
        <sz val="9"/>
        <color rgb="FF404040"/>
        <rFont val="WenQuanYi Zen Hei"/>
        <family val="2"/>
      </rPr>
      <t xml:space="preserve">배선 설계</t>
    </r>
    <r>
      <rPr>
        <sz val="9"/>
        <color rgb="FF404040"/>
        <rFont val="맑은 고딕"/>
        <family val="0"/>
        <charset val="1"/>
      </rPr>
      <t xml:space="preserve">·SI </t>
    </r>
    <r>
      <rPr>
        <sz val="9"/>
        <color rgb="FF404040"/>
        <rFont val="WenQuanYi Zen Hei"/>
        <family val="2"/>
      </rPr>
      <t xml:space="preserve">시뮬레이션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트레이닝 검증 공수가 통째로 사라짐</t>
    </r>
  </si>
  <si>
    <t xml:space="preserve">인증 리스크</t>
  </si>
  <si>
    <r>
      <rPr>
        <sz val="9"/>
        <color rgb="FF404040"/>
        <rFont val="맑은 고딕"/>
        <family val="0"/>
        <charset val="1"/>
      </rPr>
      <t xml:space="preserve">EMC </t>
    </r>
    <r>
      <rPr>
        <sz val="9"/>
        <color rgb="FF404040"/>
        <rFont val="WenQuanYi Zen Hei"/>
        <family val="2"/>
      </rPr>
      <t xml:space="preserve">방사 시험의 주요 탈락 원인 하나가 제거되어 재시험 위험이 낮아짐</t>
    </r>
  </si>
  <si>
    <t xml:space="preserve">제품 성능</t>
  </si>
  <si>
    <r>
      <rPr>
        <sz val="9"/>
        <color rgb="FF404040"/>
        <rFont val="맑은 고딕"/>
        <family val="0"/>
        <charset val="1"/>
      </rPr>
      <t xml:space="preserve">★ 2.4GHz WiFi </t>
    </r>
    <r>
      <rPr>
        <sz val="9"/>
        <color rgb="FF404040"/>
        <rFont val="WenQuanYi Zen Hei"/>
        <family val="2"/>
      </rPr>
      <t xml:space="preserve">디센스 위험이 근본적으로 낮음 — 스트리밍 거리와 안정성에 직결</t>
    </r>
  </si>
  <si>
    <t xml:space="preserve">양산 품질</t>
  </si>
  <si>
    <r>
      <rPr>
        <sz val="9"/>
        <color rgb="FF404040"/>
        <rFont val="맑은 고딕"/>
        <family val="0"/>
        <charset val="1"/>
      </rPr>
      <t xml:space="preserve">BGA </t>
    </r>
    <r>
      <rPr>
        <sz val="9"/>
        <color rgb="FF404040"/>
        <rFont val="WenQuanYi Zen Hei"/>
        <family val="2"/>
      </rPr>
      <t xml:space="preserve">실장 불량 요인 제거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부품 수 감소로 신뢰성 향상</t>
    </r>
  </si>
  <si>
    <r>
      <rPr>
        <b val="true"/>
        <sz val="10"/>
        <color rgb="FF1F3864"/>
        <rFont val="WenQuanYi Zen Hei"/>
        <family val="2"/>
      </rPr>
      <t xml:space="preserve">정리 — 단가표의 </t>
    </r>
    <r>
      <rPr>
        <b val="true"/>
        <sz val="10"/>
        <color rgb="FF1F3864"/>
        <rFont val="맑은 고딕"/>
        <family val="0"/>
        <charset val="1"/>
      </rPr>
      <t xml:space="preserve">34,200</t>
    </r>
    <r>
      <rPr>
        <b val="true"/>
        <sz val="10"/>
        <color rgb="FF1F3864"/>
        <rFont val="WenQuanYi Zen Hei"/>
        <family val="2"/>
      </rPr>
      <t xml:space="preserve">원은 부품비만 반영한 값입니다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실제로는 기판 층수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면적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설계와 검증 공수</t>
    </r>
    <r>
      <rPr>
        <b val="true"/>
        <sz val="10"/>
        <color rgb="FF1F3864"/>
        <rFont val="맑은 고딕"/>
        <family val="0"/>
        <charset val="1"/>
      </rPr>
      <t xml:space="preserve">, EMC </t>
    </r>
    <r>
      <rPr>
        <b val="true"/>
        <sz val="10"/>
        <color rgb="FF1F3864"/>
        <rFont val="WenQuanYi Zen Hei"/>
        <family val="2"/>
      </rPr>
      <t xml:space="preserve">인증 리스크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실장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검사 공정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그리고 </t>
    </r>
    <r>
      <rPr>
        <b val="true"/>
        <sz val="10"/>
        <color rgb="FF1F3864"/>
        <rFont val="맑은 고딕"/>
        <family val="0"/>
        <charset val="1"/>
      </rPr>
      <t xml:space="preserve">WiFi </t>
    </r>
    <r>
      <rPr>
        <b val="true"/>
        <sz val="10"/>
        <color rgb="FF1F3864"/>
        <rFont val="WenQuanYi Zen Hei"/>
        <family val="2"/>
      </rPr>
      <t xml:space="preserve">성능까지 함께 따라옵니다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원가만 놓고 봐도 </t>
    </r>
    <r>
      <rPr>
        <b val="true"/>
        <sz val="10"/>
        <color rgb="FF1F3864"/>
        <rFont val="맑은 고딕"/>
        <family val="0"/>
        <charset val="1"/>
      </rPr>
      <t xml:space="preserve">34,200</t>
    </r>
    <r>
      <rPr>
        <b val="true"/>
        <sz val="10"/>
        <color rgb="FF1F3864"/>
        <rFont val="WenQuanYi Zen Hei"/>
        <family val="2"/>
      </rPr>
      <t xml:space="preserve">원보다 크고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개발 일정과 제품 성능에서 얻는 이득은 여기에 포함되지 않은 몫입니다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다만 층수와 공정비는 최종 배치와 협력사 견적에 따라 달라지므로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확정 수치는 기구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기판 설계가 나온 뒤에 채워야 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</si>
  <si>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0"/>
        <color rgb="FFC00000"/>
        <rFont val="WenQuanYi Zen Hei"/>
        <family val="2"/>
      </rPr>
      <t xml:space="preserve">※ 최초 업로드본입니다</t>
    </r>
    <r>
      <rPr>
        <b val="true"/>
        <sz val="10"/>
        <color rgb="FFC00000"/>
        <rFont val="맑은 고딕"/>
        <family val="0"/>
        <charset val="1"/>
      </rPr>
      <t xml:space="preserve">. </t>
    </r>
    <r>
      <rPr>
        <b val="true"/>
        <sz val="10"/>
        <color rgb="FFC00000"/>
        <rFont val="WenQuanYi Zen Hei"/>
        <family val="2"/>
      </rPr>
      <t xml:space="preserve">아래 수치는 갱신 전 값이므로 현재 단가는 첫 번째 시트를 보세요</t>
    </r>
    <r>
      <rPr>
        <b val="true"/>
        <sz val="10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</si>
  <si>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RV1106G3 </t>
    </r>
    <r>
      <rPr>
        <b val="true"/>
        <sz val="10"/>
        <color rgb="FFFFFFFF"/>
        <rFont val="WenQuanYi Zen Hei"/>
        <family val="2"/>
      </rPr>
      <t xml:space="preserve">기반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</si>
  <si>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PX30 </t>
    </r>
    <r>
      <rPr>
        <b val="true"/>
        <sz val="10"/>
        <color rgb="FFFFFFFF"/>
        <rFont val="WenQuanYi Zen Hei"/>
        <family val="2"/>
      </rPr>
      <t xml:space="preserve">기반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첨부 이미지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</si>
  <si>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단가 차이 및 특징 비교</t>
  </si>
  <si>
    <r>
      <rPr>
        <sz val="10"/>
        <rFont val="WenQuanYi Zen Hei"/>
        <family val="2"/>
      </rPr>
      <t xml:space="preserve">메인 </t>
    </r>
    <r>
      <rPr>
        <sz val="10"/>
        <rFont val="맑은 고딕"/>
        <family val="0"/>
        <charset val="1"/>
      </rPr>
      <t xml:space="preserve">SoC</t>
    </r>
  </si>
  <si>
    <r>
      <rPr>
        <sz val="10"/>
        <rFont val="맑은 고딕"/>
        <family val="0"/>
        <charset val="1"/>
      </rPr>
      <t xml:space="preserve">RV1106G3 (Rockchip)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29,000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33,000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</si>
  <si>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(Rockchip)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6,780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</si>
  <si>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칩 자체는 매우 저렴하나</t>
    </r>
    <r>
      <rPr>
        <sz val="10"/>
        <rFont val="맑은 고딕"/>
        <family val="0"/>
        <charset val="1"/>
      </rPr>
      <t xml:space="preserve">, RV1106G3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NPU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ISP, DDR </t>
    </r>
    <r>
      <rPr>
        <sz val="10"/>
        <rFont val="WenQuanYi Zen Hei"/>
        <family val="2"/>
      </rPr>
      <t xml:space="preserve">메모리가 내장</t>
    </r>
    <r>
      <rPr>
        <sz val="10"/>
        <rFont val="맑은 고딕"/>
        <family val="0"/>
        <charset val="1"/>
      </rPr>
      <t xml:space="preserve">(SIP)</t>
    </r>
    <r>
      <rPr>
        <sz val="10"/>
        <rFont val="WenQuanYi Zen Hei"/>
        <family val="2"/>
      </rPr>
      <t xml:space="preserve">되어 있어 칩 단가는 높고 주변 회로는 단순해집니다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</si>
  <si>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
</t>
    </r>
    <r>
      <rPr>
        <sz val="10"/>
        <rFont val="WenQuanYi Zen Hei"/>
        <family val="2"/>
      </rPr>
      <t xml:space="preserve">비용 추가 없음</t>
    </r>
  </si>
  <si>
    <r>
      <rPr>
        <sz val="10"/>
        <rFont val="맑은 고딕"/>
        <family val="0"/>
        <charset val="1"/>
      </rPr>
      <t xml:space="preserve">H5TQ4G63EFR (SK Hynix) x 2</t>
    </r>
    <r>
      <rPr>
        <sz val="10"/>
        <rFont val="WenQuanYi Zen Hei"/>
        <family val="2"/>
      </rPr>
      <t xml:space="preserve">개
단가</t>
    </r>
    <r>
      <rPr>
        <sz val="10"/>
        <rFont val="맑은 고딕"/>
        <family val="0"/>
        <charset val="1"/>
      </rPr>
      <t xml:space="preserve">: 34,200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(17,100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x 2)</t>
    </r>
  </si>
  <si>
    <r>
      <rPr>
        <sz val="10"/>
        <rFont val="맑은 고딕"/>
        <family val="0"/>
        <charset val="1"/>
      </rPr>
      <t xml:space="preserve">PX30</t>
    </r>
    <r>
      <rPr>
        <sz val="10"/>
        <rFont val="WenQuanYi Zen Hei"/>
        <family val="2"/>
      </rPr>
      <t xml:space="preserve">은 외부 </t>
    </r>
    <r>
      <rPr>
        <sz val="10"/>
        <rFont val="맑은 고딕"/>
        <family val="0"/>
        <charset val="1"/>
      </rPr>
      <t xml:space="preserve">RAM</t>
    </r>
    <r>
      <rPr>
        <sz val="10"/>
        <rFont val="WenQuanYi Zen Hei"/>
        <family val="2"/>
      </rPr>
      <t xml:space="preserve">이 필수적이며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첨부된 견적에서는 </t>
    </r>
    <r>
      <rPr>
        <sz val="10"/>
        <rFont val="맑은 고딕"/>
        <family val="0"/>
        <charset val="1"/>
      </rPr>
      <t xml:space="preserve">RAM(DDR3 1GB) </t>
    </r>
    <r>
      <rPr>
        <sz val="10"/>
        <rFont val="WenQuanYi Zen Hei"/>
        <family val="2"/>
      </rPr>
      <t xml:space="preserve">비용이 </t>
    </r>
    <r>
      <rPr>
        <sz val="10"/>
        <rFont val="맑은 고딕"/>
        <family val="0"/>
        <charset val="1"/>
      </rPr>
      <t xml:space="preserve">BOM</t>
    </r>
    <r>
      <rPr>
        <sz val="10"/>
        <rFont val="WenQuanYi Zen Hei"/>
        <family val="2"/>
      </rPr>
      <t xml:space="preserve">에서 가장 큰 비중을 차지합니다</t>
    </r>
    <r>
      <rPr>
        <sz val="10"/>
        <rFont val="맑은 고딕"/>
        <family val="0"/>
        <charset val="1"/>
      </rPr>
      <t xml:space="preserve">.</t>
    </r>
  </si>
  <si>
    <t xml:space="preserve">스토리지</t>
  </si>
  <si>
    <r>
      <rPr>
        <sz val="10"/>
        <rFont val="맑은 고딕"/>
        <family val="0"/>
        <charset val="1"/>
      </rPr>
      <t xml:space="preserve">8GB eMMC (Samsung)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18,900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</si>
  <si>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KLMAG1JETD (Samsung 16GB)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30,500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</si>
  <si>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첨부 견적의 </t>
    </r>
    <r>
      <rPr>
        <sz val="10"/>
        <rFont val="맑은 고딕"/>
        <family val="0"/>
        <charset val="1"/>
      </rPr>
      <t xml:space="preserve">eMMC</t>
    </r>
    <r>
      <rPr>
        <sz val="10"/>
        <rFont val="WenQuanYi Zen Hei"/>
        <family val="2"/>
      </rPr>
      <t xml:space="preserve">는 단가가 상당히 높게 잡혀 있습니다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유통망이나 산업용 여부에 따라 편차가 큼</t>
    </r>
    <r>
      <rPr>
        <sz val="10"/>
        <rFont val="맑은 고딕"/>
        <family val="0"/>
        <charset val="1"/>
      </rPr>
      <t xml:space="preserve">).</t>
    </r>
  </si>
  <si>
    <t xml:space="preserve">네트워크</t>
  </si>
  <si>
    <r>
      <rPr>
        <sz val="10"/>
        <rFont val="맑은 고딕"/>
        <family val="0"/>
        <charset val="1"/>
      </rPr>
      <t xml:space="preserve">SKLWB800DCS.2 (WiFi)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5,400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</si>
  <si>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3,100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</si>
  <si>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</t>
    </r>
    <r>
      <rPr>
        <sz val="10"/>
        <rFont val="WenQuanYi Zen Hei"/>
        <family val="2"/>
      </rPr>
      <t xml:space="preserve">는 보편적으로 널리 쓰이는 가성비 모듈로</t>
    </r>
    <r>
      <rPr>
        <sz val="10"/>
        <rFont val="맑은 고딕"/>
        <family val="0"/>
        <charset val="1"/>
      </rPr>
      <t xml:space="preserve">, Bluetooth</t>
    </r>
    <r>
      <rPr>
        <sz val="10"/>
        <rFont val="WenQuanYi Zen Hei"/>
        <family val="2"/>
      </rPr>
      <t xml:space="preserve">가 추가 지원되는 장점이 있습니다</t>
    </r>
    <r>
      <rPr>
        <sz val="10"/>
        <rFont val="맑은 고딕"/>
        <family val="0"/>
        <charset val="1"/>
      </rPr>
      <t xml:space="preserve">.</t>
    </r>
  </si>
  <si>
    <t xml:space="preserve">카메라</t>
  </si>
  <si>
    <r>
      <rPr>
        <sz val="10"/>
        <rFont val="맑은 고딕"/>
        <family val="0"/>
        <charset val="1"/>
      </rPr>
      <t xml:space="preserve">SC3336 (3MP </t>
    </r>
    <r>
      <rPr>
        <sz val="10"/>
        <rFont val="WenQuanYi Zen Hei"/>
        <family val="2"/>
      </rPr>
      <t xml:space="preserve">모듈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9,450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14,100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</si>
  <si>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내역 없음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추가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</si>
  <si>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보드에서 비전 기능을 구현하려면 카메라 모듈 비용이 추가로 발생합니다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</si>
  <si>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합계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</si>
  <si>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43,850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71,400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포함 풀세트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</si>
  <si>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74,580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미포함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</si>
  <si>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</t>
    </r>
    <r>
      <rPr>
        <sz val="10"/>
        <rFont val="WenQuanYi Zen Hei"/>
        <family val="2"/>
      </rPr>
      <t xml:space="preserve">구성이 최종 원가 면에서 훨씬 유리할 가능성이 높습니다</t>
    </r>
    <r>
      <rPr>
        <sz val="1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</si>
</sst>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;\-#,##0;\-"/>
    <numFmt numFmtId="166" formatCode="[RED]#,##0;[BLUE]\-#,##0;\-"/>
    <numFmt numFmtId="167" formatCode="#,##0.0#"/>
    <numFmt numFmtId="168" formatCode="0.00"/>
    <numFmt numFmtId="169" formatCode="0.0&quot;mm&quot;"/>
    <numFmt numFmtId="170" formatCode="0.00&quot;μm&quot;"/>
    <numFmt numFmtId="171" formatCode="0\배"/>
    <numFmt numFmtId="172" formatCode="0&quot;픽셀&quot;"/>
    <numFmt numFmtId="173" formatCode="0.00\배"/>
    <numFmt numFmtId="174" formatCode="\F0.0"/>
    <numFmt numFmtId="175" formatCode="0.00&quot;μm/픽셀&quot;"/>
    <numFmt numFmtId="176" formatCode="0.00&quot;μm/px&quot;"/>
    <numFmt numFmtId="177" formatCode="\F0.00"/>
    <numFmt numFmtId="178" formatCode="0.0&quot;μm&quot;"/>
    <numFmt numFmtId="179" formatCode="0.00&quot;mm&quot;"/>
    <numFmt numFmtId="180" formatCode="0&quot;MHz&quot;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맑은 고딕"/>
      <family val="0"/>
      <charset val="1"/>
    </font>
    <font>
      <b val="true"/>
      <sz val="15"/>
      <color rgb="FF1F3864"/>
      <name val="WenQuanYi Zen Hei"/>
      <family val="2"/>
    </font>
    <font>
      <i val="true"/>
      <sz val="9"/>
      <color rgb="FF7F7F7F"/>
      <name val="WenQuanYi Zen Hei"/>
      <family val="2"/>
    </font>
    <font>
      <i val="true"/>
      <sz val="9"/>
      <color rgb="FF7F7F7F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sz val="1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404040"/>
      <name val="WenQuanYi Zen Hei"/>
      <family val="2"/>
    </font>
    <font>
      <sz val="10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808080"/>
      <name val="WenQuanYi Zen Hei"/>
      <family val="2"/>
    </font>
    <font>
      <b val="true"/>
      <sz val="10"/>
      <color rgb="FFC00000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C00000"/>
      <name val="맑은 고딕"/>
      <family val="0"/>
      <charset val="1"/>
    </font>
    <font>
      <sz val="11"/>
      <color rgb="FF808080"/>
      <name val="맑은 고딕"/>
      <family val="0"/>
      <charset val="1"/>
    </font>
    <font>
      <b val="true"/>
      <sz val="9"/>
      <color rgb="FF806000"/>
      <name val="WenQuanYi Zen Hei"/>
      <family val="2"/>
    </font>
    <font>
      <b val="true"/>
      <sz val="9"/>
      <color rgb="FF806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ED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DF3F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DEBF7"/>
      </patternFill>
    </fill>
    <fill>
      <patternFill patternType="solid">
        <fgColor rgb="FFFBD5B5"/>
        <bgColor rgb="FFFCE4D6"/>
      </patternFill>
    </fill>
    <fill>
      <patternFill patternType="solid">
        <fgColor rgb="FFF2F2F2"/>
        <bgColor rgb="FFEDF3F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4C7DC"/>
      </left>
      <right style="thin">
        <color rgb="FFB4C7DC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4C7DC"/>
      </left>
      <right style="thin">
        <color rgb="FFB4C7DC"/>
      </right>
      <top style="thin">
        <color rgb="FFB4C7DC"/>
      </top>
      <bottom style="thin">
        <color rgb="FFB4C7DC"/>
      </bottom>
      <diagonal/>
    </border>
    <border diagonalUp="false" diagonalDown="false">
      <left style="thin">
        <color rgb="FFB4C7DC"/>
      </left>
      <right/>
      <top style="thin">
        <color rgb="FFB4C7DC"/>
      </top>
      <bottom style="thin">
        <color rgb="FFB4C7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3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4C7D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A"/>
      <rgbColor rgb="FFF2F2F2"/>
      <rgbColor rgb="FFFCE4D6"/>
      <rgbColor rgb="FF99CCFF"/>
      <rgbColor rgb="FFFF99CC"/>
      <rgbColor rgb="FFCC99FF"/>
      <rgbColor rgb="FFFBD5B5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31.5" hidden="false" customHeight="true" outlineLevel="0" collapsed="false">
      <c r="A5" s="4" t="s">
        <v>3</v>
      </c>
      <c r="B5" s="5" t="s">
        <v>4</v>
      </c>
      <c r="C5" s="4" t="s">
        <v>5</v>
      </c>
      <c r="D5" s="5" t="s">
        <v>6</v>
      </c>
      <c r="E5" s="4" t="s">
        <v>5</v>
      </c>
      <c r="F5" s="4" t="s">
        <v>7</v>
      </c>
    </row>
    <row r="6" customFormat="false" ht="51.75" hidden="false" customHeight="true" outlineLevel="0" collapsed="false">
      <c r="A6" s="6" t="s">
        <v>8</v>
      </c>
      <c r="B6" s="7" t="s">
        <v>9</v>
      </c>
      <c r="C6" s="8" t="n">
        <v>24000</v>
      </c>
      <c r="D6" s="9" t="s">
        <v>10</v>
      </c>
      <c r="E6" s="10" t="n">
        <v>6780</v>
      </c>
      <c r="F6" s="11" t="s">
        <v>11</v>
      </c>
    </row>
    <row r="7" customFormat="false" ht="51.75" hidden="false" customHeight="true" outlineLevel="0" collapsed="false">
      <c r="A7" s="12" t="s">
        <v>12</v>
      </c>
      <c r="B7" s="7" t="s">
        <v>13</v>
      </c>
      <c r="C7" s="8" t="n">
        <v>0</v>
      </c>
      <c r="D7" s="9" t="s">
        <v>14</v>
      </c>
      <c r="E7" s="10" t="n">
        <v>34200</v>
      </c>
      <c r="F7" s="11" t="s">
        <v>15</v>
      </c>
    </row>
    <row r="8" customFormat="false" ht="51.75" hidden="false" customHeight="true" outlineLevel="0" collapsed="false">
      <c r="A8" s="12" t="s">
        <v>16</v>
      </c>
      <c r="B8" s="7" t="s">
        <v>17</v>
      </c>
      <c r="C8" s="8" t="n">
        <v>12000</v>
      </c>
      <c r="D8" s="9" t="s">
        <v>18</v>
      </c>
      <c r="E8" s="10" t="n">
        <v>30500</v>
      </c>
      <c r="F8" s="13" t="s">
        <v>19</v>
      </c>
    </row>
    <row r="9" customFormat="false" ht="51.75" hidden="false" customHeight="true" outlineLevel="0" collapsed="false">
      <c r="A9" s="12" t="s">
        <v>20</v>
      </c>
      <c r="B9" s="7" t="s">
        <v>21</v>
      </c>
      <c r="C9" s="8" t="n">
        <v>3000</v>
      </c>
      <c r="D9" s="9" t="s">
        <v>22</v>
      </c>
      <c r="E9" s="10" t="n">
        <v>3100</v>
      </c>
      <c r="F9" s="13" t="s">
        <v>23</v>
      </c>
    </row>
    <row r="10" customFormat="false" ht="25.5" hidden="false" customHeight="true" outlineLevel="0" collapsed="false">
      <c r="A10" s="14" t="s">
        <v>24</v>
      </c>
      <c r="B10" s="15"/>
      <c r="C10" s="16" t="n">
        <f aca="false">SUM(C6:C9)</f>
        <v>39000</v>
      </c>
      <c r="D10" s="15"/>
      <c r="E10" s="16" t="n">
        <f aca="false">SUM(E6:E9)</f>
        <v>74580</v>
      </c>
      <c r="F10" s="17" t="s">
        <v>25</v>
      </c>
    </row>
    <row r="12" customFormat="false" ht="21.75" hidden="false" customHeight="true" outlineLevel="0" collapsed="false">
      <c r="A12" s="3" t="s">
        <v>26</v>
      </c>
      <c r="B12" s="3"/>
      <c r="C12" s="3"/>
      <c r="D12" s="3"/>
      <c r="E12" s="3"/>
      <c r="F12" s="3"/>
    </row>
    <row r="13" customFormat="false" ht="24" hidden="false" customHeight="true" outlineLevel="0" collapsed="false">
      <c r="A13" s="4" t="s">
        <v>27</v>
      </c>
      <c r="B13" s="5" t="s">
        <v>28</v>
      </c>
      <c r="C13" s="5"/>
      <c r="D13" s="5" t="s">
        <v>29</v>
      </c>
      <c r="E13" s="5"/>
      <c r="F13" s="4" t="s">
        <v>7</v>
      </c>
    </row>
    <row r="14" customFormat="false" ht="45.75" hidden="false" customHeight="true" outlineLevel="0" collapsed="false">
      <c r="A14" s="6" t="s">
        <v>30</v>
      </c>
      <c r="B14" s="7" t="s">
        <v>31</v>
      </c>
      <c r="C14" s="7"/>
      <c r="D14" s="9" t="s">
        <v>32</v>
      </c>
      <c r="E14" s="9"/>
      <c r="F14" s="11" t="s">
        <v>33</v>
      </c>
    </row>
    <row r="15" customFormat="false" ht="45.75" hidden="false" customHeight="true" outlineLevel="0" collapsed="false">
      <c r="A15" s="6" t="s">
        <v>34</v>
      </c>
      <c r="B15" s="7" t="s">
        <v>35</v>
      </c>
      <c r="C15" s="7"/>
      <c r="D15" s="18" t="s">
        <v>36</v>
      </c>
      <c r="E15" s="18"/>
      <c r="F15" s="13" t="s">
        <v>37</v>
      </c>
    </row>
    <row r="16" customFormat="false" ht="45.75" hidden="false" customHeight="true" outlineLevel="0" collapsed="false">
      <c r="A16" s="6" t="s">
        <v>38</v>
      </c>
      <c r="B16" s="19" t="s">
        <v>39</v>
      </c>
      <c r="C16" s="19"/>
      <c r="D16" s="18" t="s">
        <v>40</v>
      </c>
      <c r="E16" s="18"/>
      <c r="F16" s="13" t="s">
        <v>41</v>
      </c>
    </row>
    <row r="17" customFormat="false" ht="45.75" hidden="false" customHeight="true" outlineLevel="0" collapsed="false">
      <c r="A17" s="6" t="s">
        <v>42</v>
      </c>
      <c r="B17" s="7" t="s">
        <v>43</v>
      </c>
      <c r="C17" s="7"/>
      <c r="D17" s="9" t="s">
        <v>44</v>
      </c>
      <c r="E17" s="9"/>
      <c r="F17" s="11" t="s">
        <v>45</v>
      </c>
    </row>
    <row r="18" customFormat="false" ht="45.75" hidden="false" customHeight="true" outlineLevel="0" collapsed="false">
      <c r="A18" s="12" t="s">
        <v>46</v>
      </c>
      <c r="B18" s="7" t="s">
        <v>47</v>
      </c>
      <c r="C18" s="7"/>
      <c r="D18" s="18" t="s">
        <v>48</v>
      </c>
      <c r="E18" s="18"/>
      <c r="F18" s="13" t="s">
        <v>49</v>
      </c>
    </row>
    <row r="19" customFormat="false" ht="45.75" hidden="false" customHeight="true" outlineLevel="0" collapsed="false">
      <c r="A19" s="12" t="s">
        <v>50</v>
      </c>
      <c r="B19" s="7" t="s">
        <v>51</v>
      </c>
      <c r="C19" s="7"/>
      <c r="D19" s="9" t="s">
        <v>52</v>
      </c>
      <c r="E19" s="9"/>
      <c r="F19" s="13" t="s">
        <v>53</v>
      </c>
    </row>
    <row r="20" customFormat="false" ht="45.75" hidden="false" customHeight="true" outlineLevel="0" collapsed="false">
      <c r="A20" s="12" t="s">
        <v>54</v>
      </c>
      <c r="B20" s="7" t="s">
        <v>55</v>
      </c>
      <c r="C20" s="7"/>
      <c r="D20" s="9" t="s">
        <v>56</v>
      </c>
      <c r="E20" s="9"/>
      <c r="F20" s="13" t="s">
        <v>57</v>
      </c>
    </row>
    <row r="21" customFormat="false" ht="45.75" hidden="false" customHeight="true" outlineLevel="0" collapsed="false">
      <c r="A21" s="6" t="s">
        <v>58</v>
      </c>
      <c r="B21" s="7" t="s">
        <v>59</v>
      </c>
      <c r="C21" s="7"/>
      <c r="D21" s="18" t="s">
        <v>60</v>
      </c>
      <c r="E21" s="18"/>
      <c r="F21" s="11" t="s">
        <v>61</v>
      </c>
    </row>
    <row r="22" customFormat="false" ht="45.75" hidden="false" customHeight="true" outlineLevel="0" collapsed="false">
      <c r="A22" s="6" t="s">
        <v>62</v>
      </c>
      <c r="B22" s="7" t="s">
        <v>63</v>
      </c>
      <c r="C22" s="7"/>
      <c r="D22" s="18" t="s">
        <v>36</v>
      </c>
      <c r="E22" s="18"/>
      <c r="F22" s="13" t="s">
        <v>64</v>
      </c>
    </row>
    <row r="23" customFormat="false" ht="45.75" hidden="false" customHeight="true" outlineLevel="0" collapsed="false">
      <c r="A23" s="6" t="s">
        <v>65</v>
      </c>
      <c r="B23" s="19" t="s">
        <v>66</v>
      </c>
      <c r="C23" s="19"/>
      <c r="D23" s="18" t="s">
        <v>67</v>
      </c>
      <c r="E23" s="18"/>
      <c r="F23" s="13" t="s">
        <v>68</v>
      </c>
    </row>
    <row r="25" customFormat="false" ht="21.75" hidden="false" customHeight="true" outlineLevel="0" collapsed="false">
      <c r="A25" s="3" t="s">
        <v>69</v>
      </c>
      <c r="B25" s="3"/>
      <c r="C25" s="3"/>
      <c r="D25" s="3"/>
      <c r="E25" s="3"/>
      <c r="F25" s="3"/>
    </row>
    <row r="26" customFormat="false" ht="19.5" hidden="false" customHeight="true" outlineLevel="0" collapsed="false">
      <c r="A26" s="20" t="s">
        <v>27</v>
      </c>
      <c r="B26" s="20"/>
      <c r="C26" s="20" t="s">
        <v>70</v>
      </c>
      <c r="D26" s="20" t="s">
        <v>7</v>
      </c>
      <c r="E26" s="20"/>
      <c r="F26" s="20"/>
    </row>
    <row r="27" customFormat="false" ht="21.75" hidden="false" customHeight="true" outlineLevel="0" collapsed="false">
      <c r="A27" s="21" t="s">
        <v>71</v>
      </c>
      <c r="B27" s="21"/>
      <c r="C27" s="22" t="n">
        <f aca="false">C10</f>
        <v>39000</v>
      </c>
      <c r="D27" s="23" t="s">
        <v>72</v>
      </c>
      <c r="E27" s="23"/>
      <c r="F27" s="23"/>
    </row>
    <row r="28" customFormat="false" ht="21.75" hidden="false" customHeight="true" outlineLevel="0" collapsed="false">
      <c r="A28" s="21" t="s">
        <v>73</v>
      </c>
      <c r="B28" s="21"/>
      <c r="C28" s="22" t="n">
        <f aca="false">E10</f>
        <v>74580</v>
      </c>
      <c r="D28" s="23" t="s">
        <v>72</v>
      </c>
      <c r="E28" s="23"/>
      <c r="F28" s="23"/>
    </row>
    <row r="29" customFormat="false" ht="21.75" hidden="false" customHeight="true" outlineLevel="0" collapsed="false">
      <c r="A29" s="24" t="s">
        <v>74</v>
      </c>
      <c r="B29" s="24"/>
      <c r="C29" s="25" t="n">
        <f aca="false">E10-C10</f>
        <v>35580</v>
      </c>
      <c r="D29" s="26" t="s">
        <v>75</v>
      </c>
      <c r="E29" s="26"/>
      <c r="F29" s="26"/>
    </row>
    <row r="31" customFormat="false" ht="57.75" hidden="false" customHeight="true" outlineLevel="0" collapsed="false">
      <c r="A31" s="27" t="s">
        <v>76</v>
      </c>
      <c r="B31" s="27"/>
      <c r="C31" s="27"/>
      <c r="D31" s="27"/>
      <c r="E31" s="27"/>
      <c r="F31" s="27"/>
    </row>
  </sheetData>
  <mergeCells count="36">
    <mergeCell ref="A1:F1"/>
    <mergeCell ref="A2:F2"/>
    <mergeCell ref="A4:F4"/>
    <mergeCell ref="A12:F12"/>
    <mergeCell ref="B13:C13"/>
    <mergeCell ref="D13:E13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A25:F25"/>
    <mergeCell ref="A26:B26"/>
    <mergeCell ref="D26:F26"/>
    <mergeCell ref="A27:B27"/>
    <mergeCell ref="D27:F27"/>
    <mergeCell ref="A28:B28"/>
    <mergeCell ref="D28:F28"/>
    <mergeCell ref="A29:B29"/>
    <mergeCell ref="D29:F2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3" min="2" style="0" width="15"/>
    <col collapsed="false" customWidth="true" hidden="false" outlineLevel="0" max="5" min="4" style="0" width="16"/>
    <col collapsed="false" customWidth="true" hidden="false" outlineLevel="0" max="6" min="6" style="0" width="15"/>
    <col collapsed="false" customWidth="true" hidden="false" outlineLevel="0" max="7" min="7" style="0" width="45"/>
  </cols>
  <sheetData>
    <row r="1" customFormat="false" ht="30" hidden="false" customHeight="true" outlineLevel="0" collapsed="false">
      <c r="A1" s="28" t="s">
        <v>77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78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79</v>
      </c>
      <c r="B4" s="3"/>
      <c r="C4" s="3"/>
      <c r="D4" s="3"/>
      <c r="E4" s="3"/>
      <c r="F4" s="3"/>
      <c r="G4" s="3"/>
    </row>
    <row r="5" customFormat="false" ht="16.5" hidden="false" customHeight="true" outlineLevel="0" collapsed="false">
      <c r="A5" s="29" t="s">
        <v>80</v>
      </c>
      <c r="B5" s="29"/>
      <c r="C5" s="30" t="n">
        <v>2304</v>
      </c>
      <c r="D5" s="31" t="s">
        <v>81</v>
      </c>
      <c r="E5" s="11" t="s">
        <v>82</v>
      </c>
      <c r="F5" s="11"/>
      <c r="G5" s="11"/>
    </row>
    <row r="6" customFormat="false" ht="16.5" hidden="false" customHeight="true" outlineLevel="0" collapsed="false">
      <c r="A6" s="29" t="s">
        <v>83</v>
      </c>
      <c r="B6" s="29"/>
      <c r="C6" s="30" t="n">
        <v>2.2</v>
      </c>
      <c r="D6" s="31" t="s">
        <v>84</v>
      </c>
      <c r="E6" s="11" t="s">
        <v>85</v>
      </c>
      <c r="F6" s="11"/>
      <c r="G6" s="11"/>
    </row>
    <row r="7" customFormat="false" ht="16.5" hidden="false" customHeight="true" outlineLevel="0" collapsed="false">
      <c r="A7" s="29" t="s">
        <v>86</v>
      </c>
      <c r="B7" s="29"/>
      <c r="C7" s="30" t="n">
        <v>9248</v>
      </c>
      <c r="D7" s="31" t="s">
        <v>81</v>
      </c>
      <c r="E7" s="11" t="s">
        <v>87</v>
      </c>
      <c r="F7" s="11"/>
      <c r="G7" s="11"/>
    </row>
    <row r="8" customFormat="false" ht="16.5" hidden="false" customHeight="true" outlineLevel="0" collapsed="false">
      <c r="A8" s="29" t="s">
        <v>88</v>
      </c>
      <c r="B8" s="29"/>
      <c r="C8" s="30" t="n">
        <v>0.7</v>
      </c>
      <c r="D8" s="31" t="s">
        <v>84</v>
      </c>
      <c r="E8" s="11" t="s">
        <v>89</v>
      </c>
      <c r="F8" s="11"/>
      <c r="G8" s="11"/>
    </row>
    <row r="9" customFormat="false" ht="16.5" hidden="false" customHeight="true" outlineLevel="0" collapsed="false">
      <c r="A9" s="32" t="s">
        <v>90</v>
      </c>
      <c r="B9" s="32"/>
      <c r="C9" s="30" t="n">
        <v>2</v>
      </c>
      <c r="D9" s="31"/>
      <c r="E9" s="11" t="s">
        <v>91</v>
      </c>
      <c r="F9" s="11"/>
      <c r="G9" s="11"/>
    </row>
    <row r="10" customFormat="false" ht="16.5" hidden="false" customHeight="true" outlineLevel="0" collapsed="false">
      <c r="A10" s="32" t="s">
        <v>92</v>
      </c>
      <c r="B10" s="32"/>
      <c r="C10" s="30" t="n">
        <v>0.55</v>
      </c>
      <c r="D10" s="31" t="s">
        <v>84</v>
      </c>
      <c r="E10" s="13" t="s">
        <v>93</v>
      </c>
      <c r="F10" s="13"/>
      <c r="G10" s="13"/>
    </row>
    <row r="11" customFormat="false" ht="16.5" hidden="false" customHeight="true" outlineLevel="0" collapsed="false">
      <c r="A11" s="29" t="s">
        <v>94</v>
      </c>
      <c r="B11" s="29"/>
      <c r="C11" s="30" t="n">
        <v>132</v>
      </c>
      <c r="D11" s="31" t="s">
        <v>95</v>
      </c>
      <c r="E11" s="11" t="s">
        <v>96</v>
      </c>
      <c r="F11" s="11"/>
      <c r="G11" s="11"/>
    </row>
    <row r="12" customFormat="false" ht="16.5" hidden="false" customHeight="true" outlineLevel="0" collapsed="false">
      <c r="A12" s="29" t="s">
        <v>97</v>
      </c>
      <c r="B12" s="29"/>
      <c r="C12" s="30" t="n">
        <v>531</v>
      </c>
      <c r="D12" s="31" t="s">
        <v>95</v>
      </c>
      <c r="E12" s="11" t="s">
        <v>98</v>
      </c>
      <c r="F12" s="11"/>
      <c r="G12" s="11"/>
    </row>
    <row r="13" customFormat="false" ht="16.5" hidden="false" customHeight="true" outlineLevel="0" collapsed="false">
      <c r="A13" s="29" t="s">
        <v>99</v>
      </c>
      <c r="B13" s="29"/>
      <c r="C13" s="33" t="n">
        <f aca="false">$C$5*$C$6/1000</f>
        <v>5.0688</v>
      </c>
      <c r="D13" s="31" t="s">
        <v>95</v>
      </c>
      <c r="E13" s="13" t="s">
        <v>100</v>
      </c>
      <c r="F13" s="13"/>
      <c r="G13" s="13"/>
    </row>
    <row r="14" customFormat="false" ht="16.5" hidden="false" customHeight="true" outlineLevel="0" collapsed="false">
      <c r="A14" s="29" t="s">
        <v>101</v>
      </c>
      <c r="B14" s="29"/>
      <c r="C14" s="33" t="n">
        <f aca="false">$C$7*$C$8/1000</f>
        <v>6.4736</v>
      </c>
      <c r="D14" s="31" t="s">
        <v>95</v>
      </c>
      <c r="E14" s="13" t="s">
        <v>102</v>
      </c>
      <c r="F14" s="13"/>
      <c r="G14" s="13"/>
    </row>
    <row r="16" customFormat="false" ht="21.75" hidden="false" customHeight="true" outlineLevel="0" collapsed="false">
      <c r="A16" s="3" t="s">
        <v>103</v>
      </c>
      <c r="B16" s="3"/>
      <c r="C16" s="3"/>
      <c r="D16" s="3"/>
      <c r="E16" s="3"/>
      <c r="F16" s="3"/>
      <c r="G16" s="3"/>
    </row>
    <row r="17" customFormat="false" ht="25.5" hidden="false" customHeight="true" outlineLevel="0" collapsed="false">
      <c r="A17" s="4" t="s">
        <v>27</v>
      </c>
      <c r="B17" s="5" t="s">
        <v>104</v>
      </c>
      <c r="C17" s="5"/>
      <c r="D17" s="5" t="s">
        <v>105</v>
      </c>
      <c r="E17" s="5"/>
      <c r="F17" s="4" t="s">
        <v>7</v>
      </c>
      <c r="G17" s="4"/>
    </row>
    <row r="18" customFormat="false" ht="39.75" hidden="false" customHeight="true" outlineLevel="0" collapsed="false">
      <c r="A18" s="6" t="s">
        <v>106</v>
      </c>
      <c r="B18" s="7" t="s">
        <v>107</v>
      </c>
      <c r="C18" s="7"/>
      <c r="D18" s="9" t="s">
        <v>108</v>
      </c>
      <c r="E18" s="9"/>
      <c r="F18" s="11" t="s">
        <v>109</v>
      </c>
      <c r="G18" s="11"/>
    </row>
    <row r="19" customFormat="false" ht="39.75" hidden="false" customHeight="true" outlineLevel="0" collapsed="false">
      <c r="A19" s="6" t="s">
        <v>110</v>
      </c>
      <c r="B19" s="7" t="s">
        <v>111</v>
      </c>
      <c r="C19" s="7"/>
      <c r="D19" s="9" t="s">
        <v>112</v>
      </c>
      <c r="E19" s="9"/>
      <c r="F19" s="13" t="s">
        <v>113</v>
      </c>
      <c r="G19" s="13"/>
    </row>
    <row r="20" customFormat="false" ht="39.75" hidden="false" customHeight="true" outlineLevel="0" collapsed="false">
      <c r="A20" s="6" t="s">
        <v>114</v>
      </c>
      <c r="B20" s="7" t="s">
        <v>115</v>
      </c>
      <c r="C20" s="7"/>
      <c r="D20" s="9" t="s">
        <v>116</v>
      </c>
      <c r="E20" s="9"/>
      <c r="F20" s="13" t="s">
        <v>117</v>
      </c>
      <c r="G20" s="13"/>
    </row>
    <row r="21" customFormat="false" ht="39.75" hidden="false" customHeight="true" outlineLevel="0" collapsed="false">
      <c r="A21" s="6" t="s">
        <v>118</v>
      </c>
      <c r="B21" s="7" t="s">
        <v>119</v>
      </c>
      <c r="C21" s="7"/>
      <c r="D21" s="9" t="s">
        <v>120</v>
      </c>
      <c r="E21" s="9"/>
      <c r="F21" s="11" t="s">
        <v>121</v>
      </c>
      <c r="G21" s="11"/>
    </row>
    <row r="22" customFormat="false" ht="39.75" hidden="false" customHeight="true" outlineLevel="0" collapsed="false">
      <c r="A22" s="6" t="s">
        <v>122</v>
      </c>
      <c r="B22" s="7" t="s">
        <v>123</v>
      </c>
      <c r="C22" s="7"/>
      <c r="D22" s="9" t="s">
        <v>124</v>
      </c>
      <c r="E22" s="9"/>
      <c r="F22" s="13" t="s">
        <v>125</v>
      </c>
      <c r="G22" s="13"/>
    </row>
    <row r="23" customFormat="false" ht="39.75" hidden="false" customHeight="true" outlineLevel="0" collapsed="false">
      <c r="A23" s="6" t="s">
        <v>126</v>
      </c>
      <c r="B23" s="7" t="s">
        <v>127</v>
      </c>
      <c r="C23" s="7"/>
      <c r="D23" s="9" t="s">
        <v>128</v>
      </c>
      <c r="E23" s="9"/>
      <c r="F23" s="11" t="s">
        <v>129</v>
      </c>
      <c r="G23" s="11"/>
    </row>
    <row r="24" customFormat="false" ht="39.75" hidden="false" customHeight="true" outlineLevel="0" collapsed="false">
      <c r="A24" s="6" t="s">
        <v>130</v>
      </c>
      <c r="B24" s="7" t="s">
        <v>131</v>
      </c>
      <c r="C24" s="7"/>
      <c r="D24" s="18" t="s">
        <v>132</v>
      </c>
      <c r="E24" s="18"/>
      <c r="F24" s="13" t="s">
        <v>133</v>
      </c>
      <c r="G24" s="13"/>
    </row>
    <row r="25" customFormat="false" ht="39.75" hidden="false" customHeight="true" outlineLevel="0" collapsed="false">
      <c r="A25" s="6" t="s">
        <v>134</v>
      </c>
      <c r="B25" s="7" t="s">
        <v>135</v>
      </c>
      <c r="C25" s="7"/>
      <c r="D25" s="18" t="s">
        <v>136</v>
      </c>
      <c r="E25" s="18"/>
      <c r="F25" s="13" t="s">
        <v>137</v>
      </c>
      <c r="G25" s="13"/>
    </row>
    <row r="27" customFormat="false" ht="21.75" hidden="false" customHeight="true" outlineLevel="0" collapsed="false">
      <c r="A27" s="3" t="s">
        <v>138</v>
      </c>
      <c r="B27" s="3"/>
      <c r="C27" s="3"/>
      <c r="D27" s="3"/>
      <c r="E27" s="3"/>
      <c r="F27" s="3"/>
      <c r="G27" s="3"/>
    </row>
    <row r="28" customFormat="false" ht="33.75" hidden="false" customHeight="true" outlineLevel="0" collapsed="false">
      <c r="A28" s="4" t="s">
        <v>139</v>
      </c>
      <c r="B28" s="4" t="s">
        <v>140</v>
      </c>
      <c r="C28" s="4" t="s">
        <v>141</v>
      </c>
      <c r="D28" s="4" t="s">
        <v>142</v>
      </c>
      <c r="E28" s="4" t="s">
        <v>143</v>
      </c>
      <c r="F28" s="4" t="s">
        <v>144</v>
      </c>
      <c r="G28" s="4" t="s">
        <v>7</v>
      </c>
    </row>
    <row r="29" customFormat="false" ht="18.75" hidden="false" customHeight="true" outlineLevel="0" collapsed="false">
      <c r="A29" s="34" t="s">
        <v>145</v>
      </c>
      <c r="B29" s="35" t="s">
        <v>146</v>
      </c>
      <c r="C29" s="35" t="s">
        <v>147</v>
      </c>
      <c r="D29" s="35" t="s">
        <v>148</v>
      </c>
      <c r="E29" s="35" t="s">
        <v>149</v>
      </c>
      <c r="F29" s="36" t="s">
        <v>150</v>
      </c>
      <c r="G29" s="13" t="s">
        <v>151</v>
      </c>
    </row>
    <row r="30" customFormat="false" ht="18.75" hidden="false" customHeight="true" outlineLevel="0" collapsed="false">
      <c r="A30" s="34" t="s">
        <v>152</v>
      </c>
      <c r="B30" s="35" t="s">
        <v>153</v>
      </c>
      <c r="C30" s="35" t="s">
        <v>154</v>
      </c>
      <c r="D30" s="35" t="s">
        <v>155</v>
      </c>
      <c r="E30" s="35" t="s">
        <v>156</v>
      </c>
      <c r="F30" s="37" t="s">
        <v>157</v>
      </c>
      <c r="G30" s="13" t="s">
        <v>158</v>
      </c>
    </row>
    <row r="31" customFormat="false" ht="18.75" hidden="false" customHeight="true" outlineLevel="0" collapsed="false">
      <c r="A31" s="34" t="s">
        <v>159</v>
      </c>
      <c r="B31" s="35" t="s">
        <v>160</v>
      </c>
      <c r="C31" s="35" t="s">
        <v>161</v>
      </c>
      <c r="D31" s="35" t="s">
        <v>162</v>
      </c>
      <c r="E31" s="35" t="s">
        <v>163</v>
      </c>
      <c r="F31" s="37" t="s">
        <v>164</v>
      </c>
      <c r="G31" s="11"/>
    </row>
    <row r="32" customFormat="false" ht="18.75" hidden="false" customHeight="true" outlineLevel="0" collapsed="false">
      <c r="A32" s="38" t="s">
        <v>165</v>
      </c>
      <c r="B32" s="39" t="s">
        <v>166</v>
      </c>
      <c r="C32" s="39" t="s">
        <v>167</v>
      </c>
      <c r="D32" s="39" t="s">
        <v>168</v>
      </c>
      <c r="E32" s="39" t="s">
        <v>169</v>
      </c>
      <c r="F32" s="40" t="s">
        <v>170</v>
      </c>
      <c r="G32" s="11" t="s">
        <v>171</v>
      </c>
    </row>
    <row r="33" customFormat="false" ht="18.75" hidden="false" customHeight="true" outlineLevel="0" collapsed="false">
      <c r="A33" s="38" t="s">
        <v>169</v>
      </c>
      <c r="B33" s="39" t="s">
        <v>172</v>
      </c>
      <c r="C33" s="39" t="s">
        <v>173</v>
      </c>
      <c r="D33" s="39" t="s">
        <v>174</v>
      </c>
      <c r="E33" s="39" t="s">
        <v>175</v>
      </c>
      <c r="F33" s="40" t="s">
        <v>170</v>
      </c>
      <c r="G33" s="13" t="s">
        <v>176</v>
      </c>
    </row>
    <row r="34" customFormat="false" ht="18.75" hidden="false" customHeight="true" outlineLevel="0" collapsed="false">
      <c r="A34" s="34" t="s">
        <v>177</v>
      </c>
      <c r="B34" s="35" t="s">
        <v>178</v>
      </c>
      <c r="C34" s="35" t="s">
        <v>179</v>
      </c>
      <c r="D34" s="35" t="s">
        <v>180</v>
      </c>
      <c r="E34" s="35" t="s">
        <v>181</v>
      </c>
      <c r="F34" s="37" t="s">
        <v>164</v>
      </c>
      <c r="G34" s="13" t="s">
        <v>182</v>
      </c>
    </row>
    <row r="35" customFormat="false" ht="30" hidden="false" customHeight="true" outlineLevel="0" collapsed="false">
      <c r="A35" s="41" t="s">
        <v>183</v>
      </c>
      <c r="B35" s="41"/>
      <c r="C35" s="41"/>
      <c r="D35" s="41"/>
      <c r="E35" s="41"/>
      <c r="F35" s="41"/>
      <c r="G35" s="41"/>
    </row>
    <row r="37" customFormat="false" ht="21.75" hidden="false" customHeight="true" outlineLevel="0" collapsed="false">
      <c r="A37" s="3" t="s">
        <v>184</v>
      </c>
      <c r="B37" s="3"/>
      <c r="C37" s="3"/>
      <c r="D37" s="3"/>
      <c r="E37" s="3"/>
      <c r="F37" s="3"/>
      <c r="G37" s="3"/>
    </row>
    <row r="38" customFormat="false" ht="33.75" hidden="false" customHeight="true" outlineLevel="0" collapsed="false">
      <c r="A38" s="4" t="s">
        <v>185</v>
      </c>
      <c r="B38" s="4" t="s">
        <v>186</v>
      </c>
      <c r="C38" s="5" t="s">
        <v>187</v>
      </c>
      <c r="D38" s="5" t="s">
        <v>188</v>
      </c>
      <c r="E38" s="4" t="s">
        <v>189</v>
      </c>
      <c r="F38" s="4" t="s">
        <v>190</v>
      </c>
      <c r="G38" s="4" t="s">
        <v>191</v>
      </c>
    </row>
    <row r="39" customFormat="false" ht="18.75" hidden="false" customHeight="true" outlineLevel="0" collapsed="false">
      <c r="A39" s="42" t="n">
        <v>8</v>
      </c>
      <c r="B39" s="43" t="n">
        <f aca="false">A39*1000/$C$5</f>
        <v>3.47222222222222</v>
      </c>
      <c r="C39" s="44" t="n">
        <f aca="false">$C$11/A39</f>
        <v>16.5</v>
      </c>
      <c r="D39" s="44" t="n">
        <f aca="false">$C$12/A39</f>
        <v>66.375</v>
      </c>
      <c r="E39" s="35" t="s">
        <v>192</v>
      </c>
      <c r="F39" s="45" t="n">
        <f aca="false">70/(A39*1000/$C$5)</f>
        <v>20.16</v>
      </c>
      <c r="G39" s="13" t="s">
        <v>193</v>
      </c>
    </row>
    <row r="40" customFormat="false" ht="18.75" hidden="false" customHeight="true" outlineLevel="0" collapsed="false">
      <c r="A40" s="42" t="n">
        <v>5</v>
      </c>
      <c r="B40" s="43" t="n">
        <f aca="false">A40*1000/$C$5</f>
        <v>2.17013888888889</v>
      </c>
      <c r="C40" s="44" t="n">
        <f aca="false">$C$11/A40</f>
        <v>26.4</v>
      </c>
      <c r="D40" s="44" t="n">
        <f aca="false">$C$12/A40</f>
        <v>106.2</v>
      </c>
      <c r="E40" s="37" t="s">
        <v>194</v>
      </c>
      <c r="F40" s="45" t="n">
        <f aca="false">70/(A40*1000/$C$5)</f>
        <v>32.256</v>
      </c>
      <c r="G40" s="13" t="s">
        <v>195</v>
      </c>
    </row>
    <row r="41" customFormat="false" ht="18.75" hidden="false" customHeight="true" outlineLevel="0" collapsed="false">
      <c r="A41" s="46" t="n">
        <v>4</v>
      </c>
      <c r="B41" s="47" t="n">
        <f aca="false">A41*1000/$C$5</f>
        <v>1.73611111111111</v>
      </c>
      <c r="C41" s="48" t="n">
        <f aca="false">$C$11/A41</f>
        <v>33</v>
      </c>
      <c r="D41" s="48" t="n">
        <f aca="false">$C$12/A41</f>
        <v>132.75</v>
      </c>
      <c r="E41" s="49" t="s">
        <v>196</v>
      </c>
      <c r="F41" s="50" t="n">
        <f aca="false">70/(A41*1000/$C$5)</f>
        <v>40.32</v>
      </c>
      <c r="G41" s="51" t="s">
        <v>197</v>
      </c>
    </row>
    <row r="42" customFormat="false" ht="18.75" hidden="false" customHeight="true" outlineLevel="0" collapsed="false">
      <c r="A42" s="42" t="n">
        <v>3</v>
      </c>
      <c r="B42" s="43" t="n">
        <f aca="false">A42*1000/$C$5</f>
        <v>1.30208333333333</v>
      </c>
      <c r="C42" s="44" t="n">
        <f aca="false">$C$11/A42</f>
        <v>44</v>
      </c>
      <c r="D42" s="44" t="n">
        <f aca="false">$C$12/A42</f>
        <v>177</v>
      </c>
      <c r="E42" s="37" t="s">
        <v>198</v>
      </c>
      <c r="F42" s="45" t="n">
        <f aca="false">70/(A42*1000/$C$5)</f>
        <v>53.76</v>
      </c>
      <c r="G42" s="13" t="s">
        <v>199</v>
      </c>
    </row>
    <row r="43" customFormat="false" ht="18.75" hidden="false" customHeight="true" outlineLevel="0" collapsed="false">
      <c r="A43" s="42" t="n">
        <v>2.5</v>
      </c>
      <c r="B43" s="43" t="n">
        <f aca="false">A43*1000/$C$5</f>
        <v>1.08506944444444</v>
      </c>
      <c r="C43" s="44" t="n">
        <f aca="false">$C$11/A43</f>
        <v>52.8</v>
      </c>
      <c r="D43" s="44" t="n">
        <f aca="false">$C$12/A43</f>
        <v>212.4</v>
      </c>
      <c r="E43" s="37" t="s">
        <v>200</v>
      </c>
      <c r="F43" s="45" t="n">
        <f aca="false">70/(A43*1000/$C$5)</f>
        <v>64.512</v>
      </c>
      <c r="G43" s="13" t="s">
        <v>201</v>
      </c>
    </row>
    <row r="44" customFormat="false" ht="18.75" hidden="false" customHeight="true" outlineLevel="0" collapsed="false">
      <c r="A44" s="42" t="n">
        <v>1.5</v>
      </c>
      <c r="B44" s="43" t="n">
        <f aca="false">A44*1000/$C$5</f>
        <v>0.651041666666667</v>
      </c>
      <c r="C44" s="44" t="n">
        <f aca="false">$C$11/A44</f>
        <v>88</v>
      </c>
      <c r="D44" s="44" t="n">
        <f aca="false">$C$12/A44</f>
        <v>354</v>
      </c>
      <c r="E44" s="37" t="s">
        <v>202</v>
      </c>
      <c r="F44" s="45" t="n">
        <f aca="false">70/(A44*1000/$C$5)</f>
        <v>107.52</v>
      </c>
      <c r="G44" s="13" t="s">
        <v>203</v>
      </c>
    </row>
    <row r="45" customFormat="false" ht="30" hidden="false" customHeight="true" outlineLevel="0" collapsed="false">
      <c r="A45" s="41" t="s">
        <v>204</v>
      </c>
      <c r="B45" s="41"/>
      <c r="C45" s="41"/>
      <c r="D45" s="41"/>
      <c r="E45" s="41"/>
      <c r="F45" s="41"/>
      <c r="G45" s="41"/>
    </row>
    <row r="47" customFormat="false" ht="21.75" hidden="false" customHeight="true" outlineLevel="0" collapsed="false">
      <c r="A47" s="3" t="s">
        <v>205</v>
      </c>
      <c r="B47" s="3"/>
      <c r="C47" s="3"/>
      <c r="D47" s="3"/>
      <c r="E47" s="3"/>
      <c r="F47" s="3"/>
      <c r="G47" s="3"/>
    </row>
    <row r="48" customFormat="false" ht="25.5" hidden="false" customHeight="true" outlineLevel="0" collapsed="false">
      <c r="A48" s="4" t="s">
        <v>27</v>
      </c>
      <c r="B48" s="5" t="s">
        <v>206</v>
      </c>
      <c r="C48" s="5"/>
      <c r="D48" s="5" t="s">
        <v>207</v>
      </c>
      <c r="E48" s="5"/>
      <c r="F48" s="4" t="s">
        <v>7</v>
      </c>
      <c r="G48" s="4"/>
    </row>
    <row r="49" customFormat="false" ht="31.5" hidden="false" customHeight="true" outlineLevel="0" collapsed="false">
      <c r="A49" s="6" t="s">
        <v>208</v>
      </c>
      <c r="B49" s="52" t="n">
        <f aca="false">($C$13/4)</f>
        <v>1.2672</v>
      </c>
      <c r="C49" s="52"/>
      <c r="D49" s="53" t="n">
        <f aca="false">($C$14/4)</f>
        <v>1.6184</v>
      </c>
      <c r="E49" s="53"/>
      <c r="F49" s="13" t="s">
        <v>209</v>
      </c>
      <c r="G49" s="13"/>
    </row>
    <row r="50" customFormat="false" ht="31.5" hidden="false" customHeight="true" outlineLevel="0" collapsed="false">
      <c r="A50" s="6" t="s">
        <v>210</v>
      </c>
      <c r="B50" s="54" t="n">
        <f aca="false">($C$9*(1+($C$13/4)))</f>
        <v>4.5344</v>
      </c>
      <c r="C50" s="54"/>
      <c r="D50" s="55" t="n">
        <f aca="false">($C$9*(1+($C$14/4)))</f>
        <v>5.2368</v>
      </c>
      <c r="E50" s="55"/>
      <c r="F50" s="13" t="s">
        <v>211</v>
      </c>
      <c r="G50" s="13"/>
    </row>
    <row r="51" customFormat="false" ht="31.5" hidden="false" customHeight="true" outlineLevel="0" collapsed="false">
      <c r="A51" s="6" t="s">
        <v>212</v>
      </c>
      <c r="B51" s="56" t="n">
        <f aca="false">(1.22*$C$10/(($C$13/4)/(2*($C$9*(1+($C$13/4))))))</f>
        <v>4.80205555555556</v>
      </c>
      <c r="C51" s="56"/>
      <c r="D51" s="57" t="n">
        <f aca="false">(1.22*$C$10/(($C$14/4)/(2*($C$9*(1+($C$14/4))))))</f>
        <v>4.3424280771132</v>
      </c>
      <c r="E51" s="57"/>
      <c r="F51" s="13" t="s">
        <v>213</v>
      </c>
      <c r="G51" s="13"/>
    </row>
    <row r="52" customFormat="false" ht="31.5" hidden="false" customHeight="true" outlineLevel="0" collapsed="false">
      <c r="A52" s="6" t="s">
        <v>214</v>
      </c>
      <c r="B52" s="58" t="n">
        <f aca="false">4*1000/$C$5</f>
        <v>1.73611111111111</v>
      </c>
      <c r="C52" s="58"/>
      <c r="D52" s="59" t="n">
        <f aca="false">4*1000/$C$7</f>
        <v>0.432525951557093</v>
      </c>
      <c r="E52" s="59"/>
      <c r="F52" s="11" t="s">
        <v>215</v>
      </c>
      <c r="G52" s="11"/>
    </row>
    <row r="53" customFormat="false" ht="31.5" hidden="false" customHeight="true" outlineLevel="0" collapsed="false">
      <c r="A53" s="6" t="s">
        <v>216</v>
      </c>
      <c r="B53" s="58" t="n">
        <f aca="false">4*1000/$C$5</f>
        <v>1.73611111111111</v>
      </c>
      <c r="C53" s="58"/>
      <c r="D53" s="59" t="n">
        <f aca="false">4*1000/($C$7/2)</f>
        <v>0.865051903114187</v>
      </c>
      <c r="E53" s="59"/>
      <c r="F53" s="13" t="s">
        <v>217</v>
      </c>
      <c r="G53" s="13"/>
    </row>
    <row r="54" customFormat="false" ht="24" hidden="false" customHeight="true" outlineLevel="0" collapsed="false">
      <c r="A54" s="6" t="s">
        <v>218</v>
      </c>
      <c r="B54" s="60" t="s">
        <v>219</v>
      </c>
      <c r="C54" s="60"/>
      <c r="D54" s="60" t="s">
        <v>220</v>
      </c>
      <c r="E54" s="60"/>
      <c r="F54" s="13" t="s">
        <v>221</v>
      </c>
      <c r="G54" s="13"/>
    </row>
    <row r="56" customFormat="false" ht="21.75" hidden="false" customHeight="true" outlineLevel="0" collapsed="false">
      <c r="A56" s="3" t="s">
        <v>222</v>
      </c>
      <c r="B56" s="3"/>
      <c r="C56" s="3"/>
      <c r="D56" s="3"/>
      <c r="E56" s="3"/>
      <c r="F56" s="3"/>
      <c r="G56" s="3"/>
    </row>
    <row r="57" customFormat="false" ht="19.5" hidden="false" customHeight="true" outlineLevel="0" collapsed="false">
      <c r="A57" s="4" t="s">
        <v>223</v>
      </c>
      <c r="B57" s="4"/>
      <c r="C57" s="4" t="s">
        <v>224</v>
      </c>
      <c r="D57" s="4" t="s">
        <v>225</v>
      </c>
      <c r="E57" s="4"/>
      <c r="F57" s="4"/>
      <c r="G57" s="4"/>
    </row>
    <row r="58" customFormat="false" ht="21.75" hidden="false" customHeight="true" outlineLevel="0" collapsed="false">
      <c r="A58" s="32" t="s">
        <v>226</v>
      </c>
      <c r="B58" s="32"/>
      <c r="C58" s="61" t="s">
        <v>227</v>
      </c>
      <c r="D58" s="11" t="s">
        <v>228</v>
      </c>
      <c r="E58" s="11"/>
      <c r="F58" s="11"/>
      <c r="G58" s="11"/>
    </row>
    <row r="59" customFormat="false" ht="21.75" hidden="false" customHeight="true" outlineLevel="0" collapsed="false">
      <c r="A59" s="32" t="s">
        <v>229</v>
      </c>
      <c r="B59" s="32"/>
      <c r="C59" s="61" t="s">
        <v>230</v>
      </c>
      <c r="D59" s="11" t="s">
        <v>231</v>
      </c>
      <c r="E59" s="11"/>
      <c r="F59" s="11"/>
      <c r="G59" s="11"/>
    </row>
    <row r="60" customFormat="false" ht="21.75" hidden="false" customHeight="true" outlineLevel="0" collapsed="false">
      <c r="A60" s="29" t="s">
        <v>232</v>
      </c>
      <c r="B60" s="29"/>
      <c r="C60" s="61" t="s">
        <v>233</v>
      </c>
      <c r="D60" s="11" t="s">
        <v>234</v>
      </c>
      <c r="E60" s="11"/>
      <c r="F60" s="11"/>
      <c r="G60" s="11"/>
    </row>
    <row r="61" customFormat="false" ht="21.75" hidden="false" customHeight="true" outlineLevel="0" collapsed="false">
      <c r="A61" s="32" t="s">
        <v>235</v>
      </c>
      <c r="B61" s="32"/>
      <c r="C61" s="62" t="s">
        <v>236</v>
      </c>
      <c r="D61" s="11" t="s">
        <v>237</v>
      </c>
      <c r="E61" s="11"/>
      <c r="F61" s="11"/>
      <c r="G61" s="11"/>
    </row>
    <row r="63" customFormat="false" ht="66" hidden="false" customHeight="true" outlineLevel="0" collapsed="false">
      <c r="A63" s="27" t="s">
        <v>238</v>
      </c>
      <c r="B63" s="27"/>
      <c r="C63" s="27"/>
      <c r="D63" s="27"/>
      <c r="E63" s="27"/>
      <c r="F63" s="27"/>
      <c r="G63" s="27"/>
    </row>
  </sheetData>
  <mergeCells count="89">
    <mergeCell ref="A1:G1"/>
    <mergeCell ref="A2:G2"/>
    <mergeCell ref="A4:G4"/>
    <mergeCell ref="A5:B5"/>
    <mergeCell ref="E5:G5"/>
    <mergeCell ref="A6:B6"/>
    <mergeCell ref="E6:G6"/>
    <mergeCell ref="A7:B7"/>
    <mergeCell ref="E7:G7"/>
    <mergeCell ref="A8:B8"/>
    <mergeCell ref="E8:G8"/>
    <mergeCell ref="A9:B9"/>
    <mergeCell ref="E9:G9"/>
    <mergeCell ref="A10:B10"/>
    <mergeCell ref="E10:G10"/>
    <mergeCell ref="A11:B11"/>
    <mergeCell ref="E11:G11"/>
    <mergeCell ref="A12:B12"/>
    <mergeCell ref="E12:G12"/>
    <mergeCell ref="A13:B13"/>
    <mergeCell ref="E13:G13"/>
    <mergeCell ref="A14:B14"/>
    <mergeCell ref="E14:G14"/>
    <mergeCell ref="A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A27:G27"/>
    <mergeCell ref="A35:G35"/>
    <mergeCell ref="A37:G37"/>
    <mergeCell ref="A45:G45"/>
    <mergeCell ref="A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6:G56"/>
    <mergeCell ref="A57:B57"/>
    <mergeCell ref="D57:G57"/>
    <mergeCell ref="A58:B58"/>
    <mergeCell ref="D58:G58"/>
    <mergeCell ref="A59:B59"/>
    <mergeCell ref="D59:G59"/>
    <mergeCell ref="A60:B60"/>
    <mergeCell ref="D60:G60"/>
    <mergeCell ref="A61:B61"/>
    <mergeCell ref="D61:G61"/>
    <mergeCell ref="A63:G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4" min="2" style="0" width="17"/>
    <col collapsed="false" customWidth="true" hidden="false" outlineLevel="0" max="6" min="5" style="0" width="14"/>
    <col collapsed="false" customWidth="true" hidden="false" outlineLevel="0" max="7" min="7" style="0" width="32"/>
  </cols>
  <sheetData>
    <row r="1" customFormat="false" ht="30" hidden="false" customHeight="true" outlineLevel="0" collapsed="false">
      <c r="A1" s="28" t="s">
        <v>239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240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241</v>
      </c>
      <c r="B4" s="3"/>
      <c r="C4" s="3"/>
      <c r="D4" s="3"/>
      <c r="E4" s="3"/>
      <c r="F4" s="3"/>
      <c r="G4" s="3"/>
    </row>
    <row r="5" customFormat="false" ht="24" hidden="false" customHeight="true" outlineLevel="0" collapsed="false">
      <c r="A5" s="4" t="s">
        <v>3</v>
      </c>
      <c r="B5" s="4" t="s">
        <v>242</v>
      </c>
      <c r="C5" s="4"/>
      <c r="D5" s="4" t="s">
        <v>243</v>
      </c>
      <c r="E5" s="4"/>
      <c r="F5" s="4" t="s">
        <v>7</v>
      </c>
      <c r="G5" s="4"/>
    </row>
    <row r="6" customFormat="false" ht="25.5" hidden="false" customHeight="true" outlineLevel="0" collapsed="false">
      <c r="A6" s="63" t="s">
        <v>244</v>
      </c>
      <c r="B6" s="9" t="s">
        <v>245</v>
      </c>
      <c r="C6" s="9"/>
      <c r="D6" s="9" t="s">
        <v>246</v>
      </c>
      <c r="E6" s="9"/>
      <c r="F6" s="13" t="s">
        <v>247</v>
      </c>
      <c r="G6" s="13"/>
    </row>
    <row r="7" customFormat="false" ht="25.5" hidden="false" customHeight="true" outlineLevel="0" collapsed="false">
      <c r="A7" s="63" t="s">
        <v>248</v>
      </c>
      <c r="B7" s="9" t="s">
        <v>249</v>
      </c>
      <c r="C7" s="9"/>
      <c r="D7" s="9" t="s">
        <v>246</v>
      </c>
      <c r="E7" s="9"/>
      <c r="F7" s="13" t="s">
        <v>250</v>
      </c>
      <c r="G7" s="13"/>
    </row>
    <row r="8" customFormat="false" ht="25.5" hidden="false" customHeight="true" outlineLevel="0" collapsed="false">
      <c r="A8" s="64" t="s">
        <v>50</v>
      </c>
      <c r="B8" s="18" t="s">
        <v>251</v>
      </c>
      <c r="C8" s="18"/>
      <c r="D8" s="9" t="s">
        <v>246</v>
      </c>
      <c r="E8" s="9"/>
      <c r="F8" s="11" t="s">
        <v>252</v>
      </c>
      <c r="G8" s="11"/>
    </row>
    <row r="9" customFormat="false" ht="25.5" hidden="false" customHeight="true" outlineLevel="0" collapsed="false">
      <c r="A9" s="63" t="s">
        <v>253</v>
      </c>
      <c r="B9" s="18" t="s">
        <v>254</v>
      </c>
      <c r="C9" s="18"/>
      <c r="D9" s="9" t="s">
        <v>246</v>
      </c>
      <c r="E9" s="9"/>
      <c r="F9" s="13" t="s">
        <v>255</v>
      </c>
      <c r="G9" s="13"/>
    </row>
    <row r="10" customFormat="false" ht="25.5" hidden="false" customHeight="true" outlineLevel="0" collapsed="false">
      <c r="A10" s="63" t="s">
        <v>256</v>
      </c>
      <c r="B10" s="9" t="s">
        <v>246</v>
      </c>
      <c r="C10" s="9"/>
      <c r="D10" s="9" t="s">
        <v>257</v>
      </c>
      <c r="E10" s="9"/>
      <c r="F10" s="13" t="s">
        <v>258</v>
      </c>
      <c r="G10" s="13"/>
    </row>
    <row r="11" customFormat="false" ht="25.5" hidden="false" customHeight="true" outlineLevel="0" collapsed="false">
      <c r="A11" s="63" t="s">
        <v>259</v>
      </c>
      <c r="B11" s="9" t="s">
        <v>246</v>
      </c>
      <c r="C11" s="9"/>
      <c r="D11" s="9" t="s">
        <v>260</v>
      </c>
      <c r="E11" s="9"/>
      <c r="F11" s="13" t="s">
        <v>261</v>
      </c>
      <c r="G11" s="13"/>
    </row>
    <row r="13" customFormat="false" ht="21.75" hidden="false" customHeight="true" outlineLevel="0" collapsed="false">
      <c r="A13" s="3" t="s">
        <v>262</v>
      </c>
      <c r="B13" s="3"/>
      <c r="C13" s="3"/>
      <c r="D13" s="3"/>
      <c r="E13" s="3"/>
      <c r="F13" s="3"/>
      <c r="G13" s="3"/>
    </row>
    <row r="14" customFormat="false" ht="16.5" hidden="false" customHeight="true" outlineLevel="0" collapsed="false">
      <c r="A14" s="63" t="s">
        <v>263</v>
      </c>
      <c r="B14" s="63"/>
      <c r="C14" s="30" t="n">
        <v>10</v>
      </c>
      <c r="D14" s="65" t="s">
        <v>95</v>
      </c>
      <c r="E14" s="13" t="s">
        <v>264</v>
      </c>
      <c r="F14" s="13"/>
      <c r="G14" s="13"/>
    </row>
    <row r="15" customFormat="false" ht="16.5" hidden="false" customHeight="true" outlineLevel="0" collapsed="false">
      <c r="A15" s="63" t="s">
        <v>265</v>
      </c>
      <c r="B15" s="63"/>
      <c r="C15" s="66" t="n">
        <v>0.65</v>
      </c>
      <c r="D15" s="67" t="s">
        <v>266</v>
      </c>
      <c r="E15" s="13" t="s">
        <v>267</v>
      </c>
      <c r="F15" s="13"/>
      <c r="G15" s="13"/>
    </row>
    <row r="16" customFormat="false" ht="16.5" hidden="false" customHeight="true" outlineLevel="0" collapsed="false">
      <c r="A16" s="63" t="s">
        <v>268</v>
      </c>
      <c r="B16" s="63"/>
      <c r="C16" s="66" t="n">
        <v>1.8</v>
      </c>
      <c r="D16" s="65"/>
      <c r="E16" s="13" t="s">
        <v>269</v>
      </c>
      <c r="F16" s="13"/>
      <c r="G16" s="13"/>
    </row>
    <row r="17" customFormat="false" ht="16.5" hidden="false" customHeight="true" outlineLevel="0" collapsed="false">
      <c r="A17" s="63" t="s">
        <v>270</v>
      </c>
      <c r="B17" s="63"/>
      <c r="C17" s="66" t="n">
        <v>4</v>
      </c>
      <c r="D17" s="65"/>
      <c r="E17" s="13" t="s">
        <v>271</v>
      </c>
      <c r="F17" s="13"/>
      <c r="G17" s="13"/>
    </row>
    <row r="18" customFormat="false" ht="16.5" hidden="false" customHeight="true" outlineLevel="0" collapsed="false">
      <c r="A18" s="64" t="s">
        <v>272</v>
      </c>
      <c r="B18" s="64"/>
      <c r="C18" s="30" t="n">
        <v>0.7</v>
      </c>
      <c r="D18" s="65" t="s">
        <v>84</v>
      </c>
      <c r="E18" s="13" t="s">
        <v>273</v>
      </c>
      <c r="F18" s="13"/>
      <c r="G18" s="13"/>
    </row>
    <row r="19" customFormat="false" ht="16.5" hidden="false" customHeight="true" outlineLevel="0" collapsed="false">
      <c r="A19" s="64" t="s">
        <v>274</v>
      </c>
      <c r="B19" s="64"/>
      <c r="C19" s="30" t="n">
        <v>9248</v>
      </c>
      <c r="D19" s="65" t="s">
        <v>81</v>
      </c>
      <c r="E19" s="13" t="s">
        <v>273</v>
      </c>
      <c r="F19" s="13"/>
      <c r="G19" s="13"/>
    </row>
    <row r="20" customFormat="false" ht="16.5" hidden="false" customHeight="true" outlineLevel="0" collapsed="false">
      <c r="A20" s="63" t="s">
        <v>275</v>
      </c>
      <c r="B20" s="63"/>
      <c r="C20" s="30" t="n">
        <v>1920</v>
      </c>
      <c r="D20" s="65" t="s">
        <v>81</v>
      </c>
      <c r="E20" s="11" t="s">
        <v>276</v>
      </c>
      <c r="F20" s="11"/>
      <c r="G20" s="11"/>
    </row>
    <row r="21" customFormat="false" ht="16.5" hidden="false" customHeight="true" outlineLevel="0" collapsed="false">
      <c r="A21" s="64" t="s">
        <v>277</v>
      </c>
      <c r="B21" s="64"/>
      <c r="C21" s="30" t="n">
        <v>1</v>
      </c>
      <c r="D21" s="67" t="s">
        <v>266</v>
      </c>
      <c r="E21" s="13" t="s">
        <v>278</v>
      </c>
      <c r="F21" s="13"/>
      <c r="G21" s="13"/>
    </row>
    <row r="22" customFormat="false" ht="16.5" hidden="false" customHeight="true" outlineLevel="0" collapsed="false">
      <c r="A22" s="64" t="s">
        <v>279</v>
      </c>
      <c r="B22" s="64"/>
      <c r="C22" s="30" t="n">
        <v>2</v>
      </c>
      <c r="D22" s="65"/>
      <c r="E22" s="11" t="s">
        <v>280</v>
      </c>
      <c r="F22" s="11"/>
      <c r="G22" s="11"/>
    </row>
    <row r="23" customFormat="false" ht="16.5" hidden="false" customHeight="true" outlineLevel="0" collapsed="false">
      <c r="A23" s="64" t="s">
        <v>281</v>
      </c>
      <c r="B23" s="64"/>
      <c r="C23" s="66" t="n">
        <v>2.2</v>
      </c>
      <c r="D23" s="65" t="s">
        <v>84</v>
      </c>
      <c r="E23" s="11" t="s">
        <v>85</v>
      </c>
      <c r="F23" s="11"/>
      <c r="G23" s="11"/>
    </row>
    <row r="24" customFormat="false" ht="16.5" hidden="false" customHeight="true" outlineLevel="0" collapsed="false">
      <c r="A24" s="64" t="s">
        <v>282</v>
      </c>
      <c r="B24" s="64"/>
      <c r="C24" s="30" t="n">
        <v>2304</v>
      </c>
      <c r="D24" s="65" t="s">
        <v>81</v>
      </c>
      <c r="E24" s="13" t="s">
        <v>283</v>
      </c>
      <c r="F24" s="13"/>
      <c r="G24" s="13"/>
    </row>
    <row r="25" customFormat="false" ht="16.5" hidden="false" customHeight="true" outlineLevel="0" collapsed="false">
      <c r="A25" s="63" t="s">
        <v>92</v>
      </c>
      <c r="B25" s="63"/>
      <c r="C25" s="30" t="n">
        <v>0.55</v>
      </c>
      <c r="D25" s="65" t="s">
        <v>84</v>
      </c>
      <c r="E25" s="13" t="s">
        <v>93</v>
      </c>
      <c r="F25" s="13"/>
      <c r="G25" s="13"/>
    </row>
    <row r="26" customFormat="false" ht="16.5" hidden="false" customHeight="true" outlineLevel="0" collapsed="false">
      <c r="A26" s="63" t="s">
        <v>284</v>
      </c>
      <c r="B26" s="63"/>
      <c r="C26" s="30" t="n">
        <v>400</v>
      </c>
      <c r="D26" s="65" t="s">
        <v>95</v>
      </c>
      <c r="E26" s="11" t="s">
        <v>285</v>
      </c>
      <c r="F26" s="11"/>
      <c r="G26" s="11"/>
    </row>
    <row r="28" customFormat="false" ht="21.75" hidden="false" customHeight="true" outlineLevel="0" collapsed="false">
      <c r="A28" s="3" t="s">
        <v>286</v>
      </c>
      <c r="B28" s="3"/>
      <c r="C28" s="3"/>
      <c r="D28" s="3"/>
      <c r="E28" s="3"/>
      <c r="F28" s="3"/>
      <c r="G28" s="3"/>
    </row>
    <row r="29" customFormat="false" ht="24" hidden="false" customHeight="true" outlineLevel="0" collapsed="false">
      <c r="A29" s="4" t="s">
        <v>287</v>
      </c>
      <c r="B29" s="4" t="s">
        <v>288</v>
      </c>
      <c r="C29" s="4" t="s">
        <v>289</v>
      </c>
      <c r="D29" s="5" t="s">
        <v>290</v>
      </c>
      <c r="E29" s="4" t="s">
        <v>7</v>
      </c>
      <c r="F29" s="4"/>
      <c r="G29" s="4"/>
    </row>
    <row r="30" customFormat="false" ht="24" hidden="false" customHeight="true" outlineLevel="0" collapsed="false">
      <c r="A30" s="63" t="s">
        <v>291</v>
      </c>
      <c r="B30" s="68" t="n">
        <f aca="false">($C$18/$C$15)</f>
        <v>1.07692307692308</v>
      </c>
      <c r="C30" s="69" t="n">
        <f aca="false">($C$18/$C$15)</f>
        <v>1.07692307692308</v>
      </c>
      <c r="D30" s="70" t="n">
        <f aca="false">($C$23/$C$21)</f>
        <v>2.2</v>
      </c>
      <c r="E30" s="13" t="s">
        <v>292</v>
      </c>
      <c r="F30" s="13"/>
      <c r="G30" s="13"/>
    </row>
    <row r="31" customFormat="false" ht="24" hidden="false" customHeight="true" outlineLevel="0" collapsed="false">
      <c r="A31" s="63" t="s">
        <v>210</v>
      </c>
      <c r="B31" s="71" t="n">
        <f aca="false">($C$16*(1+$C$15))</f>
        <v>2.97</v>
      </c>
      <c r="C31" s="72" t="n">
        <f aca="false">($C$17*(1+$C$15))</f>
        <v>6.6</v>
      </c>
      <c r="D31" s="73" t="n">
        <f aca="false">($C$22*(1+$C$21))</f>
        <v>4</v>
      </c>
      <c r="E31" s="13" t="s">
        <v>293</v>
      </c>
      <c r="F31" s="13"/>
      <c r="G31" s="13"/>
    </row>
    <row r="32" customFormat="false" ht="24" hidden="false" customHeight="true" outlineLevel="0" collapsed="false">
      <c r="A32" s="63" t="s">
        <v>294</v>
      </c>
      <c r="B32" s="74" t="n">
        <f aca="false">(2.44*$C$25*($C$16*(1+$C$15))/$C$15)</f>
        <v>6.13190769230769</v>
      </c>
      <c r="C32" s="75" t="n">
        <f aca="false">(2.44*$C$25*($C$17*(1+$C$15))/$C$15)</f>
        <v>13.6264615384615</v>
      </c>
      <c r="D32" s="76" t="n">
        <f aca="false">(2.44*$C$25*($C$22*(1+$C$21))/$C$21)</f>
        <v>5.368</v>
      </c>
      <c r="E32" s="13" t="s">
        <v>295</v>
      </c>
      <c r="F32" s="13"/>
      <c r="G32" s="13"/>
    </row>
    <row r="33" customFormat="false" ht="24" hidden="false" customHeight="true" outlineLevel="0" collapsed="false">
      <c r="A33" s="63" t="s">
        <v>296</v>
      </c>
      <c r="B33" s="77" t="n">
        <f aca="false">(2*$C$16*(2*$C$18)*(1+$C$15)/$C$15^2)</f>
        <v>19.6828402366864</v>
      </c>
      <c r="C33" s="78" t="n">
        <f aca="false">(2*$C$17*(2*$C$18)*(1+$C$15)/$C$15^2)</f>
        <v>43.7396449704142</v>
      </c>
      <c r="D33" s="79" t="n">
        <f aca="false">(2*$C$22*(2*$C$23)*(1+$C$21)/$C$21^2)</f>
        <v>35.2</v>
      </c>
      <c r="E33" s="13" t="s">
        <v>297</v>
      </c>
      <c r="F33" s="13"/>
      <c r="G33" s="13"/>
    </row>
    <row r="34" customFormat="false" ht="24" hidden="false" customHeight="true" outlineLevel="0" collapsed="false">
      <c r="A34" s="63" t="s">
        <v>298</v>
      </c>
      <c r="B34" s="80" t="n">
        <f aca="false">($C$20*$C$18/$C$15/1000)</f>
        <v>2.06769230769231</v>
      </c>
      <c r="C34" s="81" t="n">
        <f aca="false">($C$20*$C$18/$C$15/1000)</f>
        <v>2.06769230769231</v>
      </c>
      <c r="D34" s="82" t="n">
        <f aca="false">($C$24*$C$23/$C$21/1000)</f>
        <v>5.0688</v>
      </c>
      <c r="E34" s="13" t="s">
        <v>299</v>
      </c>
      <c r="F34" s="13"/>
      <c r="G34" s="13"/>
    </row>
    <row r="35" customFormat="false" ht="24" hidden="false" customHeight="true" outlineLevel="0" collapsed="false">
      <c r="A35" s="63" t="s">
        <v>300</v>
      </c>
      <c r="B35" s="80" t="n">
        <f aca="false">($C$19*$C$18/$C$15/1000)</f>
        <v>9.95938461538461</v>
      </c>
      <c r="C35" s="81" t="n">
        <f aca="false">($C$19*$C$18/$C$15/1000)</f>
        <v>9.95938461538461</v>
      </c>
      <c r="D35" s="82" t="n">
        <f aca="false">($C$24*$C$23/$C$21/1000)</f>
        <v>5.0688</v>
      </c>
      <c r="E35" s="13" t="s">
        <v>301</v>
      </c>
      <c r="F35" s="13"/>
      <c r="G35" s="13"/>
    </row>
    <row r="36" customFormat="false" ht="24" hidden="false" customHeight="true" outlineLevel="0" collapsed="false">
      <c r="A36" s="63" t="s">
        <v>302</v>
      </c>
      <c r="B36" s="83" t="n">
        <f aca="false">70/($C$18/$C$15)</f>
        <v>65</v>
      </c>
      <c r="C36" s="84" t="n">
        <f aca="false">70/($C$18/$C$15)</f>
        <v>65</v>
      </c>
      <c r="D36" s="85" t="n">
        <f aca="false">70/($C$23/$C$21)</f>
        <v>31.8181818181818</v>
      </c>
      <c r="E36" s="13" t="s">
        <v>303</v>
      </c>
      <c r="F36" s="13"/>
      <c r="G36" s="13"/>
    </row>
    <row r="37" customFormat="false" ht="24" hidden="false" customHeight="true" outlineLevel="0" collapsed="false">
      <c r="A37" s="63" t="s">
        <v>304</v>
      </c>
      <c r="B37" s="86" t="n">
        <f aca="false">$C$26/($C$20*$C$18/$C$15/1000)</f>
        <v>193.452380952381</v>
      </c>
      <c r="C37" s="87" t="n">
        <f aca="false">$C$26/($C$20*$C$18/$C$15/1000)</f>
        <v>193.452380952381</v>
      </c>
      <c r="D37" s="88" t="n">
        <f aca="false">$C$26/($C$24*$C$23/$C$21/1000)</f>
        <v>78.9141414141414</v>
      </c>
      <c r="E37" s="11" t="s">
        <v>305</v>
      </c>
      <c r="F37" s="11"/>
      <c r="G37" s="11"/>
    </row>
    <row r="38" customFormat="false" ht="43.5" hidden="false" customHeight="true" outlineLevel="0" collapsed="false">
      <c r="A38" s="89" t="s">
        <v>306</v>
      </c>
      <c r="B38" s="89"/>
      <c r="C38" s="89"/>
      <c r="D38" s="89"/>
      <c r="E38" s="89"/>
      <c r="F38" s="89"/>
      <c r="G38" s="89"/>
    </row>
    <row r="40" customFormat="false" ht="21.75" hidden="false" customHeight="true" outlineLevel="0" collapsed="false">
      <c r="A40" s="3" t="s">
        <v>307</v>
      </c>
      <c r="B40" s="3"/>
      <c r="C40" s="3"/>
      <c r="D40" s="3"/>
      <c r="E40" s="3"/>
      <c r="F40" s="3"/>
      <c r="G40" s="3"/>
    </row>
    <row r="41" customFormat="false" ht="24" hidden="false" customHeight="true" outlineLevel="0" collapsed="false">
      <c r="A41" s="4" t="s">
        <v>308</v>
      </c>
      <c r="B41" s="4" t="s">
        <v>291</v>
      </c>
      <c r="C41" s="4" t="s">
        <v>298</v>
      </c>
      <c r="D41" s="4" t="s">
        <v>309</v>
      </c>
      <c r="E41" s="4" t="s">
        <v>310</v>
      </c>
      <c r="F41" s="4"/>
      <c r="G41" s="4"/>
    </row>
    <row r="42" customFormat="false" ht="33.75" hidden="false" customHeight="true" outlineLevel="0" collapsed="false">
      <c r="A42" s="64" t="s">
        <v>311</v>
      </c>
      <c r="B42" s="90" t="n">
        <f aca="false">($C$18/$C$15)</f>
        <v>1.07692307692308</v>
      </c>
      <c r="C42" s="91" t="n">
        <f aca="false">($C$20*$C$18/$C$15/1000)</f>
        <v>2.06769230769231</v>
      </c>
      <c r="D42" s="92" t="n">
        <f aca="false">2*($C$18/$C$15)</f>
        <v>2.15384615384615</v>
      </c>
      <c r="E42" s="13" t="s">
        <v>312</v>
      </c>
      <c r="F42" s="13"/>
      <c r="G42" s="13"/>
    </row>
    <row r="43" customFormat="false" ht="33.75" hidden="false" customHeight="true" outlineLevel="0" collapsed="false">
      <c r="A43" s="64" t="s">
        <v>313</v>
      </c>
      <c r="B43" s="93" t="n">
        <f aca="false">2*$C$18/$C$15</f>
        <v>2.15384615384615</v>
      </c>
      <c r="C43" s="94" t="n">
        <f aca="false">($C$20*(2*$C$18)/$C$15/1000)</f>
        <v>4.13538461538462</v>
      </c>
      <c r="D43" s="95" t="n">
        <f aca="false">2*(2*$C$18/$C$15)</f>
        <v>4.30769230769231</v>
      </c>
      <c r="E43" s="13" t="s">
        <v>314</v>
      </c>
      <c r="F43" s="13"/>
      <c r="G43" s="13"/>
    </row>
    <row r="44" customFormat="false" ht="33.75" hidden="false" customHeight="true" outlineLevel="0" collapsed="false">
      <c r="A44" s="64" t="s">
        <v>315</v>
      </c>
      <c r="B44" s="90" t="n">
        <f aca="false">($C$19*$C$18/$C$15/1000)/$C$20/0.001</f>
        <v>5.18717948717949</v>
      </c>
      <c r="C44" s="91" t="n">
        <f aca="false">($C$19*$C$18/$C$15/1000)</f>
        <v>9.95938461538461</v>
      </c>
      <c r="D44" s="92" t="n">
        <f aca="false">2*(($C$19*$C$18/$C$15/1000)/$C$20/0.001)</f>
        <v>10.374358974359</v>
      </c>
      <c r="E44" s="13" t="s">
        <v>316</v>
      </c>
      <c r="F44" s="13"/>
      <c r="G44" s="13"/>
    </row>
    <row r="46" customFormat="false" ht="21.75" hidden="false" customHeight="true" outlineLevel="0" collapsed="false">
      <c r="A46" s="3" t="s">
        <v>317</v>
      </c>
      <c r="B46" s="3"/>
      <c r="C46" s="3"/>
      <c r="D46" s="3"/>
      <c r="E46" s="3"/>
      <c r="F46" s="3"/>
      <c r="G46" s="3"/>
    </row>
    <row r="47" customFormat="false" ht="33.75" hidden="false" customHeight="true" outlineLevel="0" collapsed="false">
      <c r="A47" s="4" t="s">
        <v>27</v>
      </c>
      <c r="B47" s="4" t="s">
        <v>318</v>
      </c>
      <c r="C47" s="4" t="s">
        <v>319</v>
      </c>
      <c r="D47" s="4" t="s">
        <v>320</v>
      </c>
      <c r="E47" s="4" t="s">
        <v>7</v>
      </c>
      <c r="F47" s="4"/>
      <c r="G47" s="4"/>
    </row>
    <row r="48" customFormat="false" ht="19.5" hidden="false" customHeight="true" outlineLevel="0" collapsed="false">
      <c r="A48" s="63" t="s">
        <v>321</v>
      </c>
      <c r="B48" s="96" t="s">
        <v>322</v>
      </c>
      <c r="C48" s="97" t="s">
        <v>323</v>
      </c>
      <c r="D48" s="98" t="s">
        <v>324</v>
      </c>
      <c r="E48" s="11"/>
      <c r="F48" s="11"/>
      <c r="G48" s="11"/>
    </row>
    <row r="49" customFormat="false" ht="19.5" hidden="false" customHeight="true" outlineLevel="0" collapsed="false">
      <c r="A49" s="63" t="s">
        <v>325</v>
      </c>
      <c r="B49" s="96" t="s">
        <v>326</v>
      </c>
      <c r="C49" s="97" t="s">
        <v>327</v>
      </c>
      <c r="D49" s="99" t="s">
        <v>328</v>
      </c>
      <c r="E49" s="11"/>
      <c r="F49" s="11"/>
      <c r="G49" s="11"/>
    </row>
    <row r="50" customFormat="false" ht="19.5" hidden="false" customHeight="true" outlineLevel="0" collapsed="false">
      <c r="A50" s="100" t="s">
        <v>329</v>
      </c>
      <c r="B50" s="101" t="s">
        <v>330</v>
      </c>
      <c r="C50" s="101" t="s">
        <v>331</v>
      </c>
      <c r="D50" s="102" t="s">
        <v>328</v>
      </c>
      <c r="E50" s="103" t="s">
        <v>332</v>
      </c>
      <c r="F50" s="103"/>
      <c r="G50" s="103"/>
    </row>
    <row r="51" customFormat="false" ht="19.5" hidden="false" customHeight="true" outlineLevel="0" collapsed="false">
      <c r="A51" s="104" t="s">
        <v>333</v>
      </c>
      <c r="B51" s="102" t="s">
        <v>334</v>
      </c>
      <c r="C51" s="102" t="s">
        <v>335</v>
      </c>
      <c r="D51" s="102" t="s">
        <v>336</v>
      </c>
      <c r="E51" s="103" t="s">
        <v>337</v>
      </c>
      <c r="F51" s="103"/>
      <c r="G51" s="103"/>
    </row>
    <row r="52" customFormat="false" ht="19.5" hidden="false" customHeight="true" outlineLevel="0" collapsed="false">
      <c r="A52" s="100" t="s">
        <v>338</v>
      </c>
      <c r="B52" s="102" t="s">
        <v>339</v>
      </c>
      <c r="C52" s="102" t="s">
        <v>340</v>
      </c>
      <c r="D52" s="102" t="s">
        <v>340</v>
      </c>
      <c r="E52" s="103" t="s">
        <v>341</v>
      </c>
      <c r="F52" s="103"/>
      <c r="G52" s="103"/>
    </row>
    <row r="53" customFormat="false" ht="19.5" hidden="false" customHeight="true" outlineLevel="0" collapsed="false">
      <c r="A53" s="63" t="s">
        <v>208</v>
      </c>
      <c r="B53" s="96" t="s">
        <v>342</v>
      </c>
      <c r="C53" s="105" t="s">
        <v>343</v>
      </c>
      <c r="D53" s="98" t="s">
        <v>344</v>
      </c>
      <c r="E53" s="13" t="s">
        <v>345</v>
      </c>
      <c r="F53" s="13"/>
      <c r="G53" s="13"/>
    </row>
    <row r="54" customFormat="false" ht="19.5" hidden="false" customHeight="true" outlineLevel="0" collapsed="false">
      <c r="A54" s="63" t="s">
        <v>291</v>
      </c>
      <c r="B54" s="96" t="s">
        <v>346</v>
      </c>
      <c r="C54" s="105" t="s">
        <v>347</v>
      </c>
      <c r="D54" s="98" t="s">
        <v>348</v>
      </c>
      <c r="E54" s="13" t="s">
        <v>349</v>
      </c>
      <c r="F54" s="13"/>
      <c r="G54" s="13"/>
    </row>
    <row r="55" customFormat="false" ht="19.5" hidden="false" customHeight="true" outlineLevel="0" collapsed="false">
      <c r="A55" s="63" t="s">
        <v>298</v>
      </c>
      <c r="B55" s="96" t="s">
        <v>350</v>
      </c>
      <c r="C55" s="105" t="s">
        <v>351</v>
      </c>
      <c r="D55" s="98" t="s">
        <v>352</v>
      </c>
      <c r="E55" s="11" t="s">
        <v>353</v>
      </c>
      <c r="F55" s="11"/>
      <c r="G55" s="11"/>
    </row>
    <row r="56" customFormat="false" ht="19.5" hidden="false" customHeight="true" outlineLevel="0" collapsed="false">
      <c r="A56" s="100" t="s">
        <v>294</v>
      </c>
      <c r="B56" s="101" t="s">
        <v>354</v>
      </c>
      <c r="C56" s="101" t="s">
        <v>246</v>
      </c>
      <c r="D56" s="101" t="s">
        <v>355</v>
      </c>
      <c r="E56" s="106" t="s">
        <v>356</v>
      </c>
      <c r="F56" s="106"/>
      <c r="G56" s="106"/>
    </row>
    <row r="57" customFormat="false" ht="19.5" hidden="false" customHeight="true" outlineLevel="0" collapsed="false">
      <c r="A57" s="63" t="s">
        <v>296</v>
      </c>
      <c r="B57" s="96" t="s">
        <v>357</v>
      </c>
      <c r="C57" s="97" t="s">
        <v>246</v>
      </c>
      <c r="D57" s="98" t="s">
        <v>358</v>
      </c>
      <c r="E57" s="11" t="s">
        <v>359</v>
      </c>
      <c r="F57" s="11"/>
      <c r="G57" s="11"/>
    </row>
    <row r="58" customFormat="false" ht="19.5" hidden="false" customHeight="true" outlineLevel="0" collapsed="false">
      <c r="A58" s="64" t="s">
        <v>360</v>
      </c>
      <c r="B58" s="96" t="s">
        <v>361</v>
      </c>
      <c r="C58" s="105" t="s">
        <v>48</v>
      </c>
      <c r="D58" s="98" t="s">
        <v>362</v>
      </c>
      <c r="E58" s="13" t="s">
        <v>363</v>
      </c>
      <c r="F58" s="13"/>
      <c r="G58" s="13"/>
    </row>
    <row r="59" customFormat="false" ht="19.5" hidden="false" customHeight="true" outlineLevel="0" collapsed="false">
      <c r="A59" s="63" t="s">
        <v>364</v>
      </c>
      <c r="B59" s="107" t="s">
        <v>365</v>
      </c>
      <c r="C59" s="105" t="s">
        <v>48</v>
      </c>
      <c r="D59" s="99" t="s">
        <v>366</v>
      </c>
      <c r="E59" s="13" t="s">
        <v>367</v>
      </c>
      <c r="F59" s="13"/>
      <c r="G59" s="13"/>
    </row>
    <row r="61" customFormat="false" ht="21.75" hidden="false" customHeight="true" outlineLevel="0" collapsed="false">
      <c r="A61" s="3" t="s">
        <v>368</v>
      </c>
      <c r="B61" s="3"/>
      <c r="C61" s="3"/>
      <c r="D61" s="3"/>
      <c r="E61" s="3"/>
      <c r="F61" s="3"/>
      <c r="G61" s="3"/>
    </row>
    <row r="62" customFormat="false" ht="31.5" hidden="false" customHeight="true" outlineLevel="0" collapsed="false">
      <c r="A62" s="108" t="s">
        <v>369</v>
      </c>
      <c r="B62" s="108"/>
      <c r="C62" s="13" t="s">
        <v>370</v>
      </c>
      <c r="D62" s="13"/>
      <c r="E62" s="13"/>
      <c r="F62" s="13"/>
      <c r="G62" s="13"/>
    </row>
    <row r="63" customFormat="false" ht="31.5" hidden="false" customHeight="true" outlineLevel="0" collapsed="false">
      <c r="A63" s="108" t="s">
        <v>371</v>
      </c>
      <c r="B63" s="108"/>
      <c r="C63" s="13" t="s">
        <v>372</v>
      </c>
      <c r="D63" s="13"/>
      <c r="E63" s="13"/>
      <c r="F63" s="13"/>
      <c r="G63" s="13"/>
    </row>
    <row r="64" customFormat="false" ht="31.5" hidden="false" customHeight="true" outlineLevel="0" collapsed="false">
      <c r="A64" s="108" t="s">
        <v>373</v>
      </c>
      <c r="B64" s="108"/>
      <c r="C64" s="13" t="s">
        <v>374</v>
      </c>
      <c r="D64" s="13"/>
      <c r="E64" s="13"/>
      <c r="F64" s="13"/>
      <c r="G64" s="13"/>
    </row>
    <row r="65" customFormat="false" ht="31.5" hidden="false" customHeight="true" outlineLevel="0" collapsed="false">
      <c r="A65" s="108" t="s">
        <v>375</v>
      </c>
      <c r="B65" s="108"/>
      <c r="C65" s="13" t="s">
        <v>376</v>
      </c>
      <c r="D65" s="13"/>
      <c r="E65" s="13"/>
      <c r="F65" s="13"/>
      <c r="G65" s="13"/>
    </row>
    <row r="66" customFormat="false" ht="31.5" hidden="false" customHeight="true" outlineLevel="0" collapsed="false">
      <c r="A66" s="108" t="s">
        <v>377</v>
      </c>
      <c r="B66" s="108"/>
      <c r="C66" s="13" t="s">
        <v>378</v>
      </c>
      <c r="D66" s="13"/>
      <c r="E66" s="13"/>
      <c r="F66" s="13"/>
      <c r="G66" s="13"/>
    </row>
    <row r="68" customFormat="false" ht="43.5" hidden="false" customHeight="true" outlineLevel="0" collapsed="false">
      <c r="A68" s="27" t="s">
        <v>379</v>
      </c>
      <c r="B68" s="27"/>
      <c r="C68" s="27"/>
      <c r="D68" s="27"/>
      <c r="E68" s="27"/>
      <c r="F68" s="27"/>
      <c r="G68" s="27"/>
    </row>
  </sheetData>
  <mergeCells count="93">
    <mergeCell ref="A1:G1"/>
    <mergeCell ref="A2:G2"/>
    <mergeCell ref="A4:G4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A13:G13"/>
    <mergeCell ref="A14:B14"/>
    <mergeCell ref="E14:G14"/>
    <mergeCell ref="A15:B15"/>
    <mergeCell ref="E15:G15"/>
    <mergeCell ref="A16:B16"/>
    <mergeCell ref="E16:G16"/>
    <mergeCell ref="A17:B17"/>
    <mergeCell ref="E17:G17"/>
    <mergeCell ref="A18:B18"/>
    <mergeCell ref="E18:G18"/>
    <mergeCell ref="A19:B19"/>
    <mergeCell ref="E19:G19"/>
    <mergeCell ref="A20:B20"/>
    <mergeCell ref="E20:G20"/>
    <mergeCell ref="A21:B21"/>
    <mergeCell ref="E21:G21"/>
    <mergeCell ref="A22:B22"/>
    <mergeCell ref="E22:G22"/>
    <mergeCell ref="A23:B23"/>
    <mergeCell ref="E23:G23"/>
    <mergeCell ref="A24:B24"/>
    <mergeCell ref="E24:G24"/>
    <mergeCell ref="A25:B25"/>
    <mergeCell ref="E25:G25"/>
    <mergeCell ref="A26:B26"/>
    <mergeCell ref="E26:G26"/>
    <mergeCell ref="A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A38:G38"/>
    <mergeCell ref="A40:G40"/>
    <mergeCell ref="E41:G41"/>
    <mergeCell ref="E42:G42"/>
    <mergeCell ref="E43:G43"/>
    <mergeCell ref="E44:G44"/>
    <mergeCell ref="A46:G46"/>
    <mergeCell ref="E47:G47"/>
    <mergeCell ref="E48:G48"/>
    <mergeCell ref="E49:G49"/>
    <mergeCell ref="E50:G50"/>
    <mergeCell ref="E51:G51"/>
    <mergeCell ref="E52:G52"/>
    <mergeCell ref="E53:G53"/>
    <mergeCell ref="E54:G54"/>
    <mergeCell ref="E55:G55"/>
    <mergeCell ref="E56:G56"/>
    <mergeCell ref="E57:G57"/>
    <mergeCell ref="E58:G58"/>
    <mergeCell ref="E59:G59"/>
    <mergeCell ref="A61:G61"/>
    <mergeCell ref="A62:B62"/>
    <mergeCell ref="C62:G62"/>
    <mergeCell ref="A63:B63"/>
    <mergeCell ref="C63:G63"/>
    <mergeCell ref="A64:B64"/>
    <mergeCell ref="C64:G64"/>
    <mergeCell ref="A65:B65"/>
    <mergeCell ref="C65:G65"/>
    <mergeCell ref="A66:B66"/>
    <mergeCell ref="C66:G66"/>
    <mergeCell ref="A68:G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7"/>
    <col collapsed="false" customWidth="true" hidden="false" outlineLevel="0" max="6" min="6" style="0" width="13"/>
    <col collapsed="false" customWidth="true" hidden="false" outlineLevel="0" max="7" min="7" style="0" width="30"/>
  </cols>
  <sheetData>
    <row r="1" customFormat="false" ht="30" hidden="false" customHeight="true" outlineLevel="0" collapsed="false">
      <c r="A1" s="28" t="s">
        <v>380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381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382</v>
      </c>
      <c r="B4" s="3"/>
      <c r="C4" s="3"/>
      <c r="D4" s="3"/>
      <c r="E4" s="3"/>
      <c r="F4" s="3"/>
      <c r="G4" s="3"/>
    </row>
    <row r="5" customFormat="false" ht="25.5" hidden="false" customHeight="true" outlineLevel="0" collapsed="false">
      <c r="A5" s="4" t="s">
        <v>27</v>
      </c>
      <c r="B5" s="5" t="s">
        <v>383</v>
      </c>
      <c r="C5" s="5"/>
      <c r="D5" s="5" t="s">
        <v>384</v>
      </c>
      <c r="E5" s="5"/>
      <c r="F5" s="4" t="s">
        <v>7</v>
      </c>
      <c r="G5" s="4"/>
    </row>
    <row r="6" customFormat="false" ht="36" hidden="false" customHeight="true" outlineLevel="0" collapsed="false">
      <c r="A6" s="6" t="s">
        <v>385</v>
      </c>
      <c r="B6" s="19" t="s">
        <v>48</v>
      </c>
      <c r="C6" s="19"/>
      <c r="D6" s="18" t="s">
        <v>386</v>
      </c>
      <c r="E6" s="18"/>
      <c r="F6" s="11" t="s">
        <v>387</v>
      </c>
      <c r="G6" s="11"/>
    </row>
    <row r="7" customFormat="false" ht="36" hidden="false" customHeight="true" outlineLevel="0" collapsed="false">
      <c r="A7" s="6" t="s">
        <v>388</v>
      </c>
      <c r="B7" s="19" t="s">
        <v>389</v>
      </c>
      <c r="C7" s="19"/>
      <c r="D7" s="18" t="s">
        <v>390</v>
      </c>
      <c r="E7" s="18"/>
      <c r="F7" s="13" t="s">
        <v>391</v>
      </c>
      <c r="G7" s="13"/>
    </row>
    <row r="8" customFormat="false" ht="36" hidden="false" customHeight="true" outlineLevel="0" collapsed="false">
      <c r="A8" s="6" t="s">
        <v>392</v>
      </c>
      <c r="B8" s="7" t="s">
        <v>393</v>
      </c>
      <c r="C8" s="7"/>
      <c r="D8" s="18" t="s">
        <v>394</v>
      </c>
      <c r="E8" s="18"/>
      <c r="F8" s="13" t="s">
        <v>395</v>
      </c>
      <c r="G8" s="13"/>
    </row>
    <row r="9" customFormat="false" ht="36" hidden="false" customHeight="true" outlineLevel="0" collapsed="false">
      <c r="A9" s="6" t="s">
        <v>396</v>
      </c>
      <c r="B9" s="19" t="s">
        <v>397</v>
      </c>
      <c r="C9" s="19"/>
      <c r="D9" s="9" t="s">
        <v>398</v>
      </c>
      <c r="E9" s="9"/>
      <c r="F9" s="13" t="s">
        <v>399</v>
      </c>
      <c r="G9" s="13"/>
    </row>
    <row r="11" customFormat="false" ht="21.75" hidden="false" customHeight="true" outlineLevel="0" collapsed="false">
      <c r="A11" s="3" t="s">
        <v>400</v>
      </c>
      <c r="B11" s="3"/>
      <c r="C11" s="3"/>
      <c r="D11" s="3"/>
      <c r="E11" s="3"/>
      <c r="F11" s="3"/>
      <c r="G11" s="3"/>
    </row>
    <row r="12" customFormat="false" ht="25.5" hidden="false" customHeight="true" outlineLevel="0" collapsed="false">
      <c r="A12" s="4" t="s">
        <v>27</v>
      </c>
      <c r="B12" s="5" t="s">
        <v>383</v>
      </c>
      <c r="C12" s="5"/>
      <c r="D12" s="5" t="s">
        <v>401</v>
      </c>
      <c r="E12" s="5"/>
      <c r="F12" s="4" t="s">
        <v>7</v>
      </c>
      <c r="G12" s="4"/>
    </row>
    <row r="13" customFormat="false" ht="36" hidden="false" customHeight="true" outlineLevel="0" collapsed="false">
      <c r="A13" s="6" t="s">
        <v>402</v>
      </c>
      <c r="B13" s="19" t="s">
        <v>403</v>
      </c>
      <c r="C13" s="19"/>
      <c r="D13" s="9" t="s">
        <v>404</v>
      </c>
      <c r="E13" s="9"/>
      <c r="F13" s="13" t="s">
        <v>405</v>
      </c>
      <c r="G13" s="13"/>
    </row>
    <row r="14" customFormat="false" ht="36" hidden="false" customHeight="true" outlineLevel="0" collapsed="false">
      <c r="A14" s="6" t="s">
        <v>406</v>
      </c>
      <c r="B14" s="19" t="s">
        <v>407</v>
      </c>
      <c r="C14" s="19"/>
      <c r="D14" s="9" t="s">
        <v>408</v>
      </c>
      <c r="E14" s="9"/>
      <c r="F14" s="13" t="s">
        <v>409</v>
      </c>
      <c r="G14" s="13"/>
    </row>
    <row r="15" customFormat="false" ht="36" hidden="false" customHeight="true" outlineLevel="0" collapsed="false">
      <c r="A15" s="6" t="s">
        <v>410</v>
      </c>
      <c r="B15" s="19" t="s">
        <v>411</v>
      </c>
      <c r="C15" s="19"/>
      <c r="D15" s="18" t="s">
        <v>412</v>
      </c>
      <c r="E15" s="18"/>
      <c r="F15" s="13" t="s">
        <v>413</v>
      </c>
      <c r="G15" s="13"/>
    </row>
    <row r="17" customFormat="false" ht="21.75" hidden="false" customHeight="true" outlineLevel="0" collapsed="false">
      <c r="A17" s="3" t="s">
        <v>414</v>
      </c>
      <c r="B17" s="3"/>
      <c r="C17" s="3"/>
      <c r="D17" s="3"/>
      <c r="E17" s="3"/>
      <c r="F17" s="3"/>
      <c r="G17" s="3"/>
    </row>
    <row r="18" customFormat="false" ht="25.5" hidden="false" customHeight="true" outlineLevel="0" collapsed="false">
      <c r="A18" s="4" t="s">
        <v>27</v>
      </c>
      <c r="B18" s="5" t="s">
        <v>383</v>
      </c>
      <c r="C18" s="5"/>
      <c r="D18" s="5" t="s">
        <v>401</v>
      </c>
      <c r="E18" s="5"/>
      <c r="F18" s="4" t="s">
        <v>7</v>
      </c>
      <c r="G18" s="4"/>
    </row>
    <row r="19" customFormat="false" ht="37.5" hidden="false" customHeight="true" outlineLevel="0" collapsed="false">
      <c r="A19" s="6" t="s">
        <v>415</v>
      </c>
      <c r="B19" s="19" t="s">
        <v>416</v>
      </c>
      <c r="C19" s="19"/>
      <c r="D19" s="18" t="s">
        <v>417</v>
      </c>
      <c r="E19" s="18"/>
      <c r="F19" s="13" t="s">
        <v>418</v>
      </c>
      <c r="G19" s="13"/>
    </row>
    <row r="20" customFormat="false" ht="37.5" hidden="false" customHeight="true" outlineLevel="0" collapsed="false">
      <c r="A20" s="12" t="s">
        <v>419</v>
      </c>
      <c r="B20" s="19" t="s">
        <v>420</v>
      </c>
      <c r="C20" s="19"/>
      <c r="D20" s="9" t="s">
        <v>421</v>
      </c>
      <c r="E20" s="9"/>
      <c r="F20" s="13" t="s">
        <v>422</v>
      </c>
      <c r="G20" s="13"/>
    </row>
    <row r="21" customFormat="false" ht="37.5" hidden="false" customHeight="true" outlineLevel="0" collapsed="false">
      <c r="A21" s="6" t="s">
        <v>423</v>
      </c>
      <c r="B21" s="19" t="s">
        <v>424</v>
      </c>
      <c r="C21" s="19"/>
      <c r="D21" s="18" t="s">
        <v>425</v>
      </c>
      <c r="E21" s="18"/>
      <c r="F21" s="13" t="s">
        <v>426</v>
      </c>
      <c r="G21" s="13"/>
    </row>
    <row r="22" customFormat="false" ht="37.5" hidden="false" customHeight="true" outlineLevel="0" collapsed="false">
      <c r="A22" s="6" t="s">
        <v>427</v>
      </c>
      <c r="B22" s="19" t="s">
        <v>428</v>
      </c>
      <c r="C22" s="19"/>
      <c r="D22" s="9" t="s">
        <v>429</v>
      </c>
      <c r="E22" s="9"/>
      <c r="F22" s="11"/>
      <c r="G22" s="11"/>
    </row>
    <row r="23" customFormat="false" ht="36" hidden="false" customHeight="true" outlineLevel="0" collapsed="false">
      <c r="A23" s="89" t="s">
        <v>430</v>
      </c>
      <c r="B23" s="89"/>
      <c r="C23" s="89"/>
      <c r="D23" s="89"/>
      <c r="E23" s="89"/>
      <c r="F23" s="89"/>
      <c r="G23" s="89"/>
    </row>
    <row r="25" customFormat="false" ht="21.75" hidden="false" customHeight="true" outlineLevel="0" collapsed="false">
      <c r="A25" s="3" t="s">
        <v>431</v>
      </c>
      <c r="B25" s="3"/>
      <c r="C25" s="3"/>
      <c r="D25" s="3"/>
      <c r="E25" s="3"/>
      <c r="F25" s="3"/>
      <c r="G25" s="3"/>
    </row>
    <row r="26" customFormat="false" ht="18" hidden="false" customHeight="true" outlineLevel="0" collapsed="false">
      <c r="A26" s="109" t="s">
        <v>432</v>
      </c>
      <c r="B26" s="110" t="n">
        <v>2400</v>
      </c>
      <c r="C26" s="35" t="s">
        <v>433</v>
      </c>
      <c r="D26" s="110" t="n">
        <v>2483.5</v>
      </c>
      <c r="E26" s="35" t="s">
        <v>434</v>
      </c>
      <c r="F26" s="111" t="s">
        <v>435</v>
      </c>
      <c r="G26" s="111"/>
    </row>
    <row r="27" customFormat="false" ht="21.75" hidden="false" customHeight="true" outlineLevel="0" collapsed="false">
      <c r="A27" s="5" t="s">
        <v>436</v>
      </c>
      <c r="B27" s="4" t="s">
        <v>437</v>
      </c>
      <c r="C27" s="5" t="s">
        <v>438</v>
      </c>
      <c r="D27" s="5" t="s">
        <v>439</v>
      </c>
      <c r="E27" s="5" t="s">
        <v>440</v>
      </c>
      <c r="F27" s="5" t="s">
        <v>441</v>
      </c>
      <c r="G27" s="5" t="s">
        <v>442</v>
      </c>
    </row>
    <row r="28" customFormat="false" ht="18" hidden="false" customHeight="true" outlineLevel="0" collapsed="false">
      <c r="A28" s="109" t="s">
        <v>443</v>
      </c>
      <c r="B28" s="112" t="n">
        <v>533</v>
      </c>
      <c r="C28" s="112" t="n">
        <f aca="false">$B$28*2</f>
        <v>1066</v>
      </c>
      <c r="D28" s="112" t="n">
        <f aca="false">$B$28*3</f>
        <v>1599</v>
      </c>
      <c r="E28" s="112" t="n">
        <f aca="false">$B$28*4</f>
        <v>2132</v>
      </c>
      <c r="F28" s="112" t="n">
        <f aca="false">$B$28*5</f>
        <v>2665</v>
      </c>
      <c r="G28" s="35" t="str">
        <f aca="false">IF(OR(AND(C28&gt;=$B$26,C28&lt;=$D$26),AND(D28&gt;=$B$26,D28&lt;=$D$26),AND(E28&gt;=$B$26,E28&lt;=$D$26),AND(F28&gt;=$B$26,F28&lt;=$D$26)),"★ 충돌","-")</f>
        <v>-</v>
      </c>
    </row>
    <row r="29" customFormat="false" ht="18" hidden="false" customHeight="true" outlineLevel="0" collapsed="false">
      <c r="A29" s="109" t="s">
        <v>444</v>
      </c>
      <c r="B29" s="112" t="n">
        <v>666.5</v>
      </c>
      <c r="C29" s="112" t="n">
        <f aca="false">$B$29*2</f>
        <v>1333</v>
      </c>
      <c r="D29" s="112" t="n">
        <f aca="false">$B$29*3</f>
        <v>1999.5</v>
      </c>
      <c r="E29" s="112" t="n">
        <f aca="false">$B$29*4</f>
        <v>2666</v>
      </c>
      <c r="F29" s="112" t="n">
        <f aca="false">$B$29*5</f>
        <v>3332.5</v>
      </c>
      <c r="G29" s="35" t="str">
        <f aca="false">IF(OR(AND(C29&gt;=$B$26,C29&lt;=$D$26),AND(D29&gt;=$B$26,D29&lt;=$D$26),AND(E29&gt;=$B$26,E29&lt;=$D$26),AND(F29&gt;=$B$26,F29&lt;=$D$26)),"★ 충돌","-")</f>
        <v>-</v>
      </c>
    </row>
    <row r="30" customFormat="false" ht="18" hidden="false" customHeight="true" outlineLevel="0" collapsed="false">
      <c r="A30" s="113" t="s">
        <v>445</v>
      </c>
      <c r="B30" s="114" t="n">
        <v>800</v>
      </c>
      <c r="C30" s="114" t="n">
        <f aca="false">$B$30*2</f>
        <v>1600</v>
      </c>
      <c r="D30" s="115" t="n">
        <f aca="false">$B$30*3</f>
        <v>2400</v>
      </c>
      <c r="E30" s="114" t="n">
        <f aca="false">$B$30*4</f>
        <v>3200</v>
      </c>
      <c r="F30" s="114" t="n">
        <f aca="false">$B$30*5</f>
        <v>4000</v>
      </c>
      <c r="G30" s="40" t="str">
        <f aca="false">IF(OR(AND(C30&gt;=$B$26,C30&lt;=$D$26),AND(D30&gt;=$B$26,D30&lt;=$D$26),AND(E30&gt;=$B$26,E30&lt;=$D$26),AND(F30&gt;=$B$26,F30&lt;=$D$26)),"★ 충돌","-")</f>
        <v>★ 충돌</v>
      </c>
    </row>
    <row r="31" customFormat="false" ht="18" hidden="false" customHeight="true" outlineLevel="0" collapsed="false">
      <c r="A31" s="109" t="s">
        <v>446</v>
      </c>
      <c r="B31" s="112" t="n">
        <v>933</v>
      </c>
      <c r="C31" s="112" t="n">
        <f aca="false">$B$31*2</f>
        <v>1866</v>
      </c>
      <c r="D31" s="112" t="n">
        <f aca="false">$B$31*3</f>
        <v>2799</v>
      </c>
      <c r="E31" s="112" t="n">
        <f aca="false">$B$31*4</f>
        <v>3732</v>
      </c>
      <c r="F31" s="112" t="n">
        <f aca="false">$B$31*5</f>
        <v>4665</v>
      </c>
      <c r="G31" s="35" t="str">
        <f aca="false">IF(OR(AND(C31&gt;=$B$26,C31&lt;=$D$26),AND(D31&gt;=$B$26,D31&lt;=$D$26),AND(E31&gt;=$B$26,E31&lt;=$D$26),AND(F31&gt;=$B$26,F31&lt;=$D$26)),"★ 충돌","-")</f>
        <v>-</v>
      </c>
    </row>
    <row r="32" customFormat="false" ht="18" hidden="false" customHeight="true" outlineLevel="0" collapsed="false">
      <c r="A32" s="109" t="s">
        <v>447</v>
      </c>
      <c r="B32" s="112" t="n">
        <v>1066.5</v>
      </c>
      <c r="C32" s="112" t="n">
        <f aca="false">$B$32*2</f>
        <v>2133</v>
      </c>
      <c r="D32" s="112" t="n">
        <f aca="false">$B$32*3</f>
        <v>3199.5</v>
      </c>
      <c r="E32" s="112" t="n">
        <f aca="false">$B$32*4</f>
        <v>4266</v>
      </c>
      <c r="F32" s="112" t="n">
        <f aca="false">$B$32*5</f>
        <v>5332.5</v>
      </c>
      <c r="G32" s="35" t="str">
        <f aca="false">IF(OR(AND(C32&gt;=$B$26,C32&lt;=$D$26),AND(D32&gt;=$B$26,D32&lt;=$D$26),AND(E32&gt;=$B$26,E32&lt;=$D$26),AND(F32&gt;=$B$26,F32&lt;=$D$26)),"★ 충돌","-")</f>
        <v>-</v>
      </c>
    </row>
    <row r="33" customFormat="false" ht="33.75" hidden="false" customHeight="true" outlineLevel="0" collapsed="false">
      <c r="A33" s="116" t="s">
        <v>448</v>
      </c>
      <c r="B33" s="116"/>
      <c r="C33" s="116"/>
      <c r="D33" s="116"/>
      <c r="E33" s="116"/>
      <c r="F33" s="116"/>
      <c r="G33" s="116"/>
    </row>
    <row r="35" customFormat="false" ht="25.5" hidden="false" customHeight="true" outlineLevel="0" collapsed="false">
      <c r="A35" s="4" t="s">
        <v>27</v>
      </c>
      <c r="B35" s="5" t="s">
        <v>383</v>
      </c>
      <c r="C35" s="5"/>
      <c r="D35" s="5" t="s">
        <v>401</v>
      </c>
      <c r="E35" s="5"/>
      <c r="F35" s="4" t="s">
        <v>7</v>
      </c>
      <c r="G35" s="4"/>
    </row>
    <row r="36" customFormat="false" ht="33.75" hidden="false" customHeight="true" outlineLevel="0" collapsed="false">
      <c r="A36" s="6" t="s">
        <v>449</v>
      </c>
      <c r="B36" s="19" t="s">
        <v>450</v>
      </c>
      <c r="C36" s="19"/>
      <c r="D36" s="18" t="s">
        <v>451</v>
      </c>
      <c r="E36" s="18"/>
      <c r="F36" s="11" t="s">
        <v>452</v>
      </c>
      <c r="G36" s="11"/>
    </row>
    <row r="37" customFormat="false" ht="33.75" hidden="false" customHeight="true" outlineLevel="0" collapsed="false">
      <c r="A37" s="6" t="s">
        <v>453</v>
      </c>
      <c r="B37" s="19" t="s">
        <v>389</v>
      </c>
      <c r="C37" s="19"/>
      <c r="D37" s="18" t="s">
        <v>454</v>
      </c>
      <c r="E37" s="18"/>
      <c r="F37" s="13" t="s">
        <v>455</v>
      </c>
      <c r="G37" s="13"/>
    </row>
    <row r="39" customFormat="false" ht="21.75" hidden="false" customHeight="true" outlineLevel="0" collapsed="false">
      <c r="A39" s="3" t="s">
        <v>456</v>
      </c>
      <c r="B39" s="3"/>
      <c r="C39" s="3"/>
      <c r="D39" s="3"/>
      <c r="E39" s="3"/>
      <c r="F39" s="3"/>
      <c r="G39" s="3"/>
    </row>
    <row r="40" customFormat="false" ht="25.5" hidden="false" customHeight="true" outlineLevel="0" collapsed="false">
      <c r="A40" s="4" t="s">
        <v>27</v>
      </c>
      <c r="B40" s="5" t="s">
        <v>383</v>
      </c>
      <c r="C40" s="5"/>
      <c r="D40" s="5" t="s">
        <v>401</v>
      </c>
      <c r="E40" s="5"/>
      <c r="F40" s="4" t="s">
        <v>7</v>
      </c>
      <c r="G40" s="4"/>
    </row>
    <row r="41" customFormat="false" ht="31.5" hidden="false" customHeight="true" outlineLevel="0" collapsed="false">
      <c r="A41" s="6" t="s">
        <v>457</v>
      </c>
      <c r="B41" s="7" t="s">
        <v>458</v>
      </c>
      <c r="C41" s="7"/>
      <c r="D41" s="9" t="s">
        <v>459</v>
      </c>
      <c r="E41" s="9"/>
      <c r="F41" s="11" t="s">
        <v>460</v>
      </c>
      <c r="G41" s="11"/>
    </row>
    <row r="42" customFormat="false" ht="31.5" hidden="false" customHeight="true" outlineLevel="0" collapsed="false">
      <c r="A42" s="6" t="s">
        <v>461</v>
      </c>
      <c r="B42" s="19" t="s">
        <v>389</v>
      </c>
      <c r="C42" s="19"/>
      <c r="D42" s="18" t="s">
        <v>462</v>
      </c>
      <c r="E42" s="18"/>
      <c r="F42" s="13" t="s">
        <v>463</v>
      </c>
      <c r="G42" s="13"/>
    </row>
    <row r="43" customFormat="false" ht="31.5" hidden="false" customHeight="true" outlineLevel="0" collapsed="false">
      <c r="A43" s="6" t="s">
        <v>464</v>
      </c>
      <c r="B43" s="19" t="s">
        <v>465</v>
      </c>
      <c r="C43" s="19"/>
      <c r="D43" s="18" t="s">
        <v>466</v>
      </c>
      <c r="E43" s="18"/>
      <c r="F43" s="13" t="s">
        <v>467</v>
      </c>
      <c r="G43" s="13"/>
    </row>
    <row r="44" customFormat="false" ht="31.5" hidden="false" customHeight="true" outlineLevel="0" collapsed="false">
      <c r="A44" s="6" t="s">
        <v>468</v>
      </c>
      <c r="B44" s="19" t="s">
        <v>469</v>
      </c>
      <c r="C44" s="19"/>
      <c r="D44" s="9" t="s">
        <v>470</v>
      </c>
      <c r="E44" s="9"/>
      <c r="F44" s="13" t="s">
        <v>471</v>
      </c>
      <c r="G44" s="13"/>
    </row>
    <row r="46" customFormat="false" ht="21.75" hidden="false" customHeight="true" outlineLevel="0" collapsed="false">
      <c r="A46" s="3" t="s">
        <v>472</v>
      </c>
      <c r="B46" s="3"/>
      <c r="C46" s="3"/>
      <c r="D46" s="3"/>
      <c r="E46" s="3"/>
      <c r="F46" s="3"/>
      <c r="G46" s="3"/>
    </row>
    <row r="47" customFormat="false" ht="21.75" hidden="false" customHeight="true" outlineLevel="0" collapsed="false">
      <c r="A47" s="108" t="s">
        <v>473</v>
      </c>
      <c r="B47" s="108"/>
      <c r="C47" s="13" t="s">
        <v>474</v>
      </c>
      <c r="D47" s="13"/>
      <c r="E47" s="13"/>
      <c r="F47" s="13"/>
      <c r="G47" s="13"/>
    </row>
    <row r="48" customFormat="false" ht="21.75" hidden="false" customHeight="true" outlineLevel="0" collapsed="false">
      <c r="A48" s="108" t="s">
        <v>475</v>
      </c>
      <c r="B48" s="108"/>
      <c r="C48" s="11" t="s">
        <v>476</v>
      </c>
      <c r="D48" s="11"/>
      <c r="E48" s="11"/>
      <c r="F48" s="11"/>
      <c r="G48" s="11"/>
    </row>
    <row r="49" customFormat="false" ht="21.75" hidden="false" customHeight="true" outlineLevel="0" collapsed="false">
      <c r="A49" s="108" t="s">
        <v>477</v>
      </c>
      <c r="B49" s="108"/>
      <c r="C49" s="11" t="s">
        <v>478</v>
      </c>
      <c r="D49" s="11"/>
      <c r="E49" s="11"/>
      <c r="F49" s="11"/>
      <c r="G49" s="11"/>
    </row>
    <row r="50" customFormat="false" ht="21.75" hidden="false" customHeight="true" outlineLevel="0" collapsed="false">
      <c r="A50" s="108" t="s">
        <v>479</v>
      </c>
      <c r="B50" s="108"/>
      <c r="C50" s="11" t="s">
        <v>480</v>
      </c>
      <c r="D50" s="11"/>
      <c r="E50" s="11"/>
      <c r="F50" s="11"/>
      <c r="G50" s="11"/>
    </row>
    <row r="51" customFormat="false" ht="21.75" hidden="false" customHeight="true" outlineLevel="0" collapsed="false">
      <c r="A51" s="108" t="s">
        <v>481</v>
      </c>
      <c r="B51" s="108"/>
      <c r="C51" s="11" t="s">
        <v>482</v>
      </c>
      <c r="D51" s="11"/>
      <c r="E51" s="11"/>
      <c r="F51" s="11"/>
      <c r="G51" s="11"/>
    </row>
    <row r="53" customFormat="false" ht="43.5" hidden="false" customHeight="true" outlineLevel="0" collapsed="false">
      <c r="A53" s="27" t="s">
        <v>483</v>
      </c>
      <c r="B53" s="27"/>
      <c r="C53" s="27"/>
      <c r="D53" s="27"/>
      <c r="E53" s="27"/>
      <c r="F53" s="27"/>
      <c r="G53" s="27"/>
    </row>
  </sheetData>
  <mergeCells count="88">
    <mergeCell ref="A1:G1"/>
    <mergeCell ref="A2:G2"/>
    <mergeCell ref="A4:G4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C9"/>
    <mergeCell ref="D9:E9"/>
    <mergeCell ref="F9:G9"/>
    <mergeCell ref="A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A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A23:G23"/>
    <mergeCell ref="A25:G25"/>
    <mergeCell ref="F26:G26"/>
    <mergeCell ref="A33:G33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A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B43:C43"/>
    <mergeCell ref="D43:E43"/>
    <mergeCell ref="F43:G43"/>
    <mergeCell ref="B44:C44"/>
    <mergeCell ref="D44:E44"/>
    <mergeCell ref="F44:G44"/>
    <mergeCell ref="A46:G46"/>
    <mergeCell ref="A47:B47"/>
    <mergeCell ref="C47:G47"/>
    <mergeCell ref="A48:B48"/>
    <mergeCell ref="C48:G48"/>
    <mergeCell ref="A49:B49"/>
    <mergeCell ref="C49:G49"/>
    <mergeCell ref="A50:B50"/>
    <mergeCell ref="C50:G50"/>
    <mergeCell ref="A51:B51"/>
    <mergeCell ref="C51:G51"/>
    <mergeCell ref="A53:G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50"/>
  </cols>
  <sheetData>
    <row r="1" customFormat="false" ht="21.75" hidden="false" customHeight="true" outlineLevel="0" collapsed="false">
      <c r="A1" s="117" t="s">
        <v>484</v>
      </c>
      <c r="B1" s="117"/>
      <c r="C1" s="117"/>
      <c r="D1" s="117"/>
    </row>
    <row r="3" customFormat="false" ht="24" hidden="false" customHeight="true" outlineLevel="0" collapsed="false">
      <c r="A3" s="118" t="s">
        <v>3</v>
      </c>
      <c r="B3" s="119" t="s">
        <v>485</v>
      </c>
      <c r="C3" s="119" t="s">
        <v>486</v>
      </c>
      <c r="D3" s="118" t="s">
        <v>487</v>
      </c>
    </row>
    <row r="4" customFormat="false" ht="57.75" hidden="false" customHeight="true" outlineLevel="0" collapsed="false">
      <c r="A4" s="120" t="s">
        <v>488</v>
      </c>
      <c r="B4" s="121" t="s">
        <v>489</v>
      </c>
      <c r="C4" s="121" t="s">
        <v>490</v>
      </c>
      <c r="D4" s="121" t="s">
        <v>491</v>
      </c>
    </row>
    <row r="5" customFormat="false" ht="57.75" hidden="false" customHeight="true" outlineLevel="0" collapsed="false">
      <c r="A5" s="121" t="s">
        <v>12</v>
      </c>
      <c r="B5" s="121" t="s">
        <v>492</v>
      </c>
      <c r="C5" s="121" t="s">
        <v>493</v>
      </c>
      <c r="D5" s="121" t="s">
        <v>494</v>
      </c>
    </row>
    <row r="6" customFormat="false" ht="57.75" hidden="false" customHeight="true" outlineLevel="0" collapsed="false">
      <c r="A6" s="120" t="s">
        <v>495</v>
      </c>
      <c r="B6" s="121" t="s">
        <v>496</v>
      </c>
      <c r="C6" s="121" t="s">
        <v>497</v>
      </c>
      <c r="D6" s="120" t="s">
        <v>498</v>
      </c>
    </row>
    <row r="7" customFormat="false" ht="57.75" hidden="false" customHeight="true" outlineLevel="0" collapsed="false">
      <c r="A7" s="120" t="s">
        <v>499</v>
      </c>
      <c r="B7" s="121" t="s">
        <v>500</v>
      </c>
      <c r="C7" s="121" t="s">
        <v>501</v>
      </c>
      <c r="D7" s="121" t="s">
        <v>502</v>
      </c>
    </row>
    <row r="8" customFormat="false" ht="57.75" hidden="false" customHeight="true" outlineLevel="0" collapsed="false">
      <c r="A8" s="120" t="s">
        <v>503</v>
      </c>
      <c r="B8" s="121" t="s">
        <v>504</v>
      </c>
      <c r="C8" s="120" t="s">
        <v>505</v>
      </c>
      <c r="D8" s="121" t="s">
        <v>506</v>
      </c>
    </row>
    <row r="9" customFormat="false" ht="57.75" hidden="false" customHeight="true" outlineLevel="0" collapsed="false">
      <c r="A9" s="120" t="s">
        <v>507</v>
      </c>
      <c r="B9" s="120" t="s">
        <v>508</v>
      </c>
      <c r="C9" s="121" t="s">
        <v>509</v>
      </c>
      <c r="D9" s="121" t="s">
        <v>510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2026-08-31T05:48:14Z</dcterms:created>
  <dc:creator>openpyxl</dc:creator>
  <dc:description/>
  <dc:language>en-US</dc:language>
  <cp:lastModifiedBy/>
  <dcterms:modified xsi:type="dcterms:W3CDTF">2026-08-31T05:48:14Z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