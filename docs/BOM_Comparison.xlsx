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단가 비교" sheetId="1" state="visible" r:id="rId3"/>
    <sheet name="원본 (참고)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<sst xmlns="http://schemas.openxmlformats.org/spreadsheetml/2006/main" count="74" uniqueCount="68">
  <si>
    <r>
      <rPr>
        <b val="true"/>
        <sz val="15"/>
        <color rgb="FF1F3864"/>
        <rFont val="맑은 고딕"/>
        <family val="0"/>
        <charset val="1"/>
      </rPr>
      <t xml:space="preserve">BOM </t>
    </r>
    <r>
      <rPr>
        <b val="true"/>
        <sz val="15"/>
        <color rgb="FF1F3864"/>
        <rFont val="WenQuanYi Zen Hei"/>
        <family val="2"/>
      </rPr>
      <t xml:space="preserve">단가 비교  </t>
    </r>
    <r>
      <rPr>
        <b val="true"/>
        <sz val="15"/>
        <color rgb="FF1F3864"/>
        <rFont val="맑은 고딕"/>
        <family val="0"/>
        <charset val="1"/>
      </rPr>
      <t xml:space="preserve">|  1</t>
    </r>
    <r>
      <rPr>
        <b val="true"/>
        <sz val="15"/>
        <color rgb="FF1F3864"/>
        <rFont val="WenQuanYi Zen Hei"/>
        <family val="2"/>
      </rPr>
      <t xml:space="preserve">안 </t>
    </r>
    <r>
      <rPr>
        <b val="true"/>
        <sz val="15"/>
        <color rgb="FF1F3864"/>
        <rFont val="맑은 고딕"/>
        <family val="0"/>
        <charset val="1"/>
      </rPr>
      <t xml:space="preserve">RV1106G3 </t>
    </r>
    <r>
      <rPr>
        <b val="true"/>
        <sz val="15"/>
        <color rgb="FF1F3864"/>
        <rFont val="WenQuanYi Zen Hei"/>
        <family val="2"/>
      </rPr>
      <t xml:space="preserve">기반  </t>
    </r>
    <r>
      <rPr>
        <b val="true"/>
        <sz val="15"/>
        <color rgb="FF1F3864"/>
        <rFont val="맑은 고딕"/>
        <family val="0"/>
        <charset val="1"/>
      </rPr>
      <t xml:space="preserve">vs  2</t>
    </r>
    <r>
      <rPr>
        <b val="true"/>
        <sz val="15"/>
        <color rgb="FF1F3864"/>
        <rFont val="WenQuanYi Zen Hei"/>
        <family val="2"/>
      </rPr>
      <t xml:space="preserve">안 </t>
    </r>
    <r>
      <rPr>
        <b val="true"/>
        <sz val="15"/>
        <color rgb="FF1F3864"/>
        <rFont val="맑은 고딕"/>
        <family val="0"/>
        <charset val="1"/>
      </rPr>
      <t xml:space="preserve">PX30 </t>
    </r>
    <r>
      <rPr>
        <b val="true"/>
        <sz val="15"/>
        <color rgb="FF1F3864"/>
        <rFont val="WenQuanYi Zen Hei"/>
        <family val="2"/>
      </rPr>
      <t xml:space="preserve">기반</t>
    </r>
  </si>
  <si>
    <r>
      <rPr>
        <i val="true"/>
        <sz val="9"/>
        <color rgb="FF7F7F7F"/>
        <rFont val="WenQuanYi Zen Hei"/>
        <family val="2"/>
      </rPr>
      <t xml:space="preserve">단위</t>
    </r>
    <r>
      <rPr>
        <i val="true"/>
        <sz val="9"/>
        <color rgb="FF7F7F7F"/>
        <rFont val="맑은 고딕"/>
        <family val="0"/>
        <charset val="1"/>
      </rPr>
      <t xml:space="preserve">: </t>
    </r>
    <r>
      <rPr>
        <i val="true"/>
        <sz val="9"/>
        <color rgb="FF7F7F7F"/>
        <rFont val="WenQuanYi Zen Hei"/>
        <family val="2"/>
      </rPr>
      <t xml:space="preserve">원</t>
    </r>
    <r>
      <rPr>
        <i val="true"/>
        <sz val="9"/>
        <color rgb="FF7F7F7F"/>
        <rFont val="맑은 고딕"/>
        <family val="0"/>
        <charset val="1"/>
      </rPr>
      <t xml:space="preserve">(VAT </t>
    </r>
    <r>
      <rPr>
        <i val="true"/>
        <sz val="9"/>
        <color rgb="FF7F7F7F"/>
        <rFont val="WenQuanYi Zen Hei"/>
        <family val="2"/>
      </rPr>
      <t xml:space="preserve">별도</t>
    </r>
    <r>
      <rPr>
        <i val="true"/>
        <sz val="9"/>
        <color rgb="FF7F7F7F"/>
        <rFont val="맑은 고딕"/>
        <family val="0"/>
        <charset val="1"/>
      </rPr>
      <t xml:space="preserve">) · </t>
    </r>
    <r>
      <rPr>
        <i val="true"/>
        <sz val="9"/>
        <color rgb="FF7F7F7F"/>
        <rFont val="WenQuanYi Zen Hei"/>
        <family val="2"/>
      </rPr>
      <t xml:space="preserve">수량 </t>
    </r>
    <r>
      <rPr>
        <i val="true"/>
        <sz val="9"/>
        <color rgb="FF7F7F7F"/>
        <rFont val="맑은 고딕"/>
        <family val="0"/>
        <charset val="1"/>
      </rPr>
      <t xml:space="preserve">1</t>
    </r>
    <r>
      <rPr>
        <i val="true"/>
        <sz val="9"/>
        <color rgb="FF7F7F7F"/>
        <rFont val="WenQuanYi Zen Hei"/>
        <family val="2"/>
      </rPr>
      <t xml:space="preserve">대 기준 </t>
    </r>
    <r>
      <rPr>
        <i val="true"/>
        <sz val="9"/>
        <color rgb="FF7F7F7F"/>
        <rFont val="맑은 고딕"/>
        <family val="0"/>
        <charset val="1"/>
      </rPr>
      <t xml:space="preserve">· 1</t>
    </r>
    <r>
      <rPr>
        <i val="true"/>
        <sz val="9"/>
        <color rgb="FF7F7F7F"/>
        <rFont val="WenQuanYi Zen Hei"/>
        <family val="2"/>
      </rPr>
      <t xml:space="preserve">안은 유통가 기준 추정 범위</t>
    </r>
    <r>
      <rPr>
        <i val="true"/>
        <sz val="9"/>
        <color rgb="FF7F7F7F"/>
        <rFont val="맑은 고딕"/>
        <family val="0"/>
        <charset val="1"/>
      </rPr>
      <t xml:space="preserve">, 2</t>
    </r>
    <r>
      <rPr>
        <i val="true"/>
        <sz val="9"/>
        <color rgb="FF7F7F7F"/>
        <rFont val="WenQuanYi Zen Hei"/>
        <family val="2"/>
      </rPr>
      <t xml:space="preserve">안은 첨부 견적서 실단가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</si>
  <si>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</si>
  <si>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부품 </t>
    </r>
    <r>
      <rPr>
        <b val="true"/>
        <sz val="10"/>
        <color rgb="FFFFFFFF"/>
        <rFont val="맑은 고딕"/>
        <family val="0"/>
        <charset val="1"/>
      </rPr>
      <t xml:space="preserve">(RV1106G3 </t>
    </r>
    <r>
      <rPr>
        <b val="true"/>
        <sz val="10"/>
        <color rgb="FFFFFFFF"/>
        <rFont val="WenQuanYi Zen Hei"/>
        <family val="2"/>
      </rPr>
      <t xml:space="preserve">기반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</si>
  <si>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단가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최소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</si>
  <si>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단가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</si>
  <si>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부품 </t>
    </r>
    <r>
      <rPr>
        <b val="true"/>
        <sz val="10"/>
        <color rgb="FFFFFFFF"/>
        <rFont val="맑은 고딕"/>
        <family val="0"/>
        <charset val="1"/>
      </rPr>
      <t xml:space="preserve">(PX30 </t>
    </r>
    <r>
      <rPr>
        <b val="true"/>
        <sz val="10"/>
        <color rgb="FFFFFFFF"/>
        <rFont val="WenQuanYi Zen Hei"/>
        <family val="2"/>
      </rPr>
      <t xml:space="preserve">기반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</si>
  <si>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단가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</si>
  <si>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차액
</t>
    </r>
    <r>
      <rPr>
        <b val="true"/>
        <sz val="10"/>
        <color rgb="FFFFFFFF"/>
        <rFont val="맑은 고딕"/>
        <family val="0"/>
        <charset val="1"/>
      </rPr>
      <t xml:space="preserve">(2</t>
    </r>
    <r>
      <rPr>
        <b val="true"/>
        <sz val="10"/>
        <color rgb="FFFFFFFF"/>
        <rFont val="WenQuanYi Zen Hei"/>
        <family val="2"/>
      </rPr>
      <t xml:space="preserve">안 − 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</si>
  <si>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비고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</si>
  <si>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맑은 고딕"/>
        <family val="0"/>
        <charset val="1"/>
      </rPr>
      <t xml:space="preserve">SoC</t>
    </r>
  </si>
  <si>
    <t xml:space="preserve">RV1106G3 (Rockchip)</t>
  </si>
  <si>
    <t xml:space="preserve">PX30 (Rockchip)</t>
  </si>
  <si>
    <r>
      <rPr>
        <sz val="9"/>
        <color rgb="FF404040"/>
        <rFont val="맑은 고딕"/>
        <family val="0"/>
        <charset val="1"/>
      </rPr>
      <t xml:space="preserve">PX30 </t>
    </r>
    <r>
      <rPr>
        <sz val="9"/>
        <color rgb="FF404040"/>
        <rFont val="WenQuanYi Zen Hei"/>
        <family val="2"/>
      </rPr>
      <t xml:space="preserve">칩 자체는 매우 저렴하나</t>
    </r>
    <r>
      <rPr>
        <sz val="9"/>
        <color rgb="FF404040"/>
        <rFont val="맑은 고딕"/>
        <family val="0"/>
        <charset val="1"/>
      </rPr>
      <t xml:space="preserve">, RV1106G3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NPU·ISP·DDR </t>
    </r>
    <r>
      <rPr>
        <sz val="9"/>
        <color rgb="FF404040"/>
        <rFont val="WenQuanYi Zen Hei"/>
        <family val="2"/>
      </rPr>
      <t xml:space="preserve">메모리가 내장</t>
    </r>
    <r>
      <rPr>
        <sz val="9"/>
        <color rgb="FF404040"/>
        <rFont val="맑은 고딕"/>
        <family val="0"/>
        <charset val="1"/>
      </rPr>
      <t xml:space="preserve">(SIP)</t>
    </r>
    <r>
      <rPr>
        <sz val="9"/>
        <color rgb="FF404040"/>
        <rFont val="WenQuanYi Zen Hei"/>
        <family val="2"/>
      </rPr>
      <t xml:space="preserve">되어 있어 칩 단가는 높고 주변 회로는 단순해짐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 단가는 유통가 기준 추정치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</si>
  <si>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RAM</t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</si>
  <si>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</t>
    </r>
  </si>
  <si>
    <r>
      <rPr>
        <sz val="10"/>
        <rFont val="맑은 고딕"/>
        <family val="0"/>
        <charset val="1"/>
      </rPr>
      <t xml:space="preserve">H5TQ4G63EFR (SK Hynix) × 2</t>
    </r>
    <r>
      <rPr>
        <sz val="10"/>
        <rFont val="WenQuanYi Zen Hei"/>
        <family val="2"/>
      </rPr>
      <t xml:space="preserve">개</t>
    </r>
  </si>
  <si>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안은 외부 </t>
    </r>
    <r>
      <rPr>
        <sz val="9"/>
        <color rgb="FF404040"/>
        <rFont val="맑은 고딕"/>
        <family val="0"/>
        <charset val="1"/>
      </rPr>
      <t xml:space="preserve">RAM</t>
    </r>
    <r>
      <rPr>
        <sz val="9"/>
        <color rgb="FF404040"/>
        <rFont val="WenQuanYi Zen Hei"/>
        <family val="2"/>
      </rPr>
      <t xml:space="preserve">이 필수</t>
    </r>
    <r>
      <rPr>
        <sz val="9"/>
        <color rgb="FF404040"/>
        <rFont val="맑은 고딕"/>
        <family val="0"/>
        <charset val="1"/>
      </rPr>
      <t xml:space="preserve">. 17,100</t>
    </r>
    <r>
      <rPr>
        <sz val="9"/>
        <color rgb="FF404040"/>
        <rFont val="WenQuanYi Zen Hei"/>
        <family val="2"/>
      </rPr>
      <t xml:space="preserve">원 </t>
    </r>
    <r>
      <rPr>
        <sz val="9"/>
        <color rgb="FF404040"/>
        <rFont val="맑은 고딕"/>
        <family val="0"/>
        <charset val="1"/>
      </rPr>
      <t xml:space="preserve">× 2</t>
    </r>
    <r>
      <rPr>
        <sz val="9"/>
        <color rgb="FF404040"/>
        <rFont val="WenQuanYi Zen Hei"/>
        <family val="2"/>
      </rPr>
      <t xml:space="preserve">개 </t>
    </r>
    <r>
      <rPr>
        <sz val="9"/>
        <color rgb="FF404040"/>
        <rFont val="맑은 고딕"/>
        <family val="0"/>
        <charset val="1"/>
      </rPr>
      <t xml:space="preserve">= 34,200</t>
    </r>
    <r>
      <rPr>
        <sz val="9"/>
        <color rgb="FF404040"/>
        <rFont val="WenQuanYi Zen Hei"/>
        <family val="2"/>
      </rPr>
      <t xml:space="preserve">원으로 첨부 견적 </t>
    </r>
    <r>
      <rPr>
        <sz val="9"/>
        <color rgb="FF404040"/>
        <rFont val="맑은 고딕"/>
        <family val="0"/>
        <charset val="1"/>
      </rPr>
      <t xml:space="preserve">BOM</t>
    </r>
    <r>
      <rPr>
        <sz val="9"/>
        <color rgb="FF404040"/>
        <rFont val="WenQuanYi Zen Hei"/>
        <family val="2"/>
      </rPr>
      <t xml:space="preserve">에서 가장 큰 비중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SoC</t>
    </r>
    <r>
      <rPr>
        <sz val="9"/>
        <color rgb="FF404040"/>
        <rFont val="WenQuanYi Zen Hei"/>
        <family val="2"/>
      </rPr>
      <t xml:space="preserve">에 내장되어 추가 비용 없음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</si>
  <si>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스토리지</t>
  </si>
  <si>
    <t xml:space="preserve">8GB eMMC (Samsung)</t>
  </si>
  <si>
    <t xml:space="preserve">KLMAG1JETD (Samsung 16GB)</t>
  </si>
  <si>
    <r>
      <rPr>
        <sz val="9"/>
        <color rgb="FF404040"/>
        <rFont val="WenQuanYi Zen Hei"/>
        <family val="2"/>
      </rPr>
      <t xml:space="preserve">첨부 견적의 </t>
    </r>
    <r>
      <rPr>
        <sz val="9"/>
        <color rgb="FF404040"/>
        <rFont val="맑은 고딕"/>
        <family val="0"/>
        <charset val="1"/>
      </rPr>
      <t xml:space="preserve">eMMC </t>
    </r>
    <r>
      <rPr>
        <sz val="9"/>
        <color rgb="FF404040"/>
        <rFont val="WenQuanYi Zen Hei"/>
        <family val="2"/>
      </rPr>
      <t xml:space="preserve">단가가 상당히 높게 잡혀 있음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유통망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산업용 여부에 따라 편차가 큼</t>
    </r>
    <r>
      <rPr>
        <sz val="9"/>
        <color rgb="FF404040"/>
        <rFont val="맑은 고딕"/>
        <family val="0"/>
        <charset val="1"/>
      </rPr>
      <t xml:space="preserve">). 1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8GB </t>
    </r>
    <r>
      <rPr>
        <sz val="9"/>
        <color rgb="FF404040"/>
        <rFont val="WenQuanYi Zen Hei"/>
        <family val="2"/>
      </rPr>
      <t xml:space="preserve">기준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</si>
  <si>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네트워크</t>
  </si>
  <si>
    <t xml:space="preserve">SKLWB800DCS.2 (WiFi)</t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</si>
  <si>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</si>
  <si>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AP6212</t>
    </r>
    <r>
      <rPr>
        <sz val="9"/>
        <color rgb="FF404040"/>
        <rFont val="WenQuanYi Zen Hei"/>
        <family val="2"/>
      </rPr>
      <t xml:space="preserve">는 널리 쓰이는 가성비 모듈로 </t>
    </r>
    <r>
      <rPr>
        <sz val="9"/>
        <color rgb="FF404040"/>
        <rFont val="맑은 고딕"/>
        <family val="0"/>
        <charset val="1"/>
      </rPr>
      <t xml:space="preserve">Bluetooth</t>
    </r>
    <r>
      <rPr>
        <sz val="9"/>
        <color rgb="FF404040"/>
        <rFont val="WenQuanYi Zen Hei"/>
        <family val="2"/>
      </rPr>
      <t xml:space="preserve">가 추가 지원되는 장점이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</si>
  <si>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카메라</t>
  </si>
  <si>
    <r>
      <rPr>
        <sz val="10"/>
        <rFont val="맑은 고딕"/>
        <family val="0"/>
        <charset val="1"/>
      </rPr>
      <t xml:space="preserve">SC3336 (3MP </t>
    </r>
    <r>
      <rPr>
        <sz val="10"/>
        <rFont val="WenQuanYi Zen Hei"/>
        <family val="2"/>
      </rPr>
      <t xml:space="preserve">모듈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</si>
  <si>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내역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추가 필요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</si>
  <si>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 견적에는 카메라가 미포함</t>
    </r>
    <r>
      <rPr>
        <sz val="9"/>
        <color rgb="FF404040"/>
        <rFont val="맑은 고딕"/>
        <family val="0"/>
        <charset val="1"/>
      </rPr>
      <t xml:space="preserve">. PX30 </t>
    </r>
    <r>
      <rPr>
        <sz val="9"/>
        <color rgb="FF404040"/>
        <rFont val="WenQuanYi Zen Hei"/>
        <family val="2"/>
      </rPr>
      <t xml:space="preserve">보드에서 비전 기능을 구현하려면 모듈 비용이 추가로 발생하므로 실제 격차는 더 벌어짐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</si>
  <si>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합계</t>
  </si>
  <si>
    <t xml:space="preserve">카메라 포함 풀세트</t>
  </si>
  <si>
    <t xml:space="preserve">카메라 미포함</t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</si>
  <si>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카메라까지 포함한 금액이고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안은 카메라가 빠진 금액이므로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동일 조건으로 맞추면 격차는 더 커짐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</si>
  <si>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■ 합계 요약</t>
  </si>
  <si>
    <t xml:space="preserve">항목</t>
  </si>
  <si>
    <r>
      <rPr>
        <b val="true"/>
        <sz val="10"/>
        <color rgb="FFFFFFFF"/>
        <rFont val="WenQuanYi Zen Hei"/>
        <family val="2"/>
      </rPr>
      <t xml:space="preserve">금액 </t>
    </r>
    <r>
      <rPr>
        <b val="true"/>
        <sz val="10"/>
        <color rgb="FFFFFFFF"/>
        <rFont val="맑은 고딕"/>
        <family val="0"/>
        <charset val="1"/>
      </rPr>
      <t xml:space="preserve">A 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</si>
  <si>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금액 </t>
    </r>
    <r>
      <rPr>
        <b val="true"/>
        <sz val="10"/>
        <color rgb="FFFFFFFF"/>
        <rFont val="맑은 고딕"/>
        <family val="0"/>
        <charset val="1"/>
      </rPr>
      <t xml:space="preserve">B 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</si>
  <si>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(RV1106G3, </t>
    </r>
    <r>
      <rPr>
        <b val="true"/>
        <sz val="10"/>
        <rFont val="WenQuanYi Zen Hei"/>
        <family val="2"/>
      </rPr>
      <t xml:space="preserve">카메라 포함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</si>
  <si>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최소 </t>
    </r>
    <r>
      <rPr>
        <sz val="9"/>
        <color rgb="FF404040"/>
        <rFont val="맑은 고딕"/>
        <family val="0"/>
        <charset val="1"/>
      </rPr>
      <t xml:space="preserve">~ </t>
    </r>
    <r>
      <rPr>
        <sz val="9"/>
        <color rgb="FF404040"/>
        <rFont val="WenQuanYi Zen Hei"/>
        <family val="2"/>
      </rPr>
      <t xml:space="preserve">최대 추정 범위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</si>
  <si>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(PX30, </t>
    </r>
    <r>
      <rPr>
        <b val="true"/>
        <sz val="10"/>
        <rFont val="WenQuanYi Zen Hei"/>
        <family val="2"/>
      </rPr>
      <t xml:space="preserve">카메라 미포함</t>
    </r>
    <r>
      <rPr>
        <b val="true"/>
        <sz val="10"/>
        <rFont val="맑은 고딕"/>
        <family val="0"/>
        <charset val="1"/>
      </rPr>
      <t xml:space="preserve">)</t>
    </r>
  </si>
  <si>
    <t xml:space="preserve">첨부 견적서 실단가 합계</t>
  </si>
  <si>
    <r>
      <rPr>
        <b val="true"/>
        <sz val="10"/>
        <rFont val="WenQuanYi Zen Hei"/>
        <family val="2"/>
      </rPr>
      <t xml:space="preserve">격차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안 −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</si>
  <si>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왼쪽</t>
    </r>
    <r>
      <rPr>
        <sz val="9"/>
        <color rgb="FF404040"/>
        <rFont val="맑은 고딕"/>
        <family val="0"/>
        <charset val="1"/>
      </rPr>
      <t xml:space="preserve">=1</t>
    </r>
    <r>
      <rPr>
        <sz val="9"/>
        <color rgb="FF404040"/>
        <rFont val="WenQuanYi Zen Hei"/>
        <family val="2"/>
      </rPr>
      <t xml:space="preserve">안 최대가 기준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보수적</t>
    </r>
    <r>
      <rPr>
        <sz val="9"/>
        <color rgb="FF404040"/>
        <rFont val="맑은 고딕"/>
        <family val="0"/>
        <charset val="1"/>
      </rPr>
      <t xml:space="preserve">), </t>
    </r>
    <r>
      <rPr>
        <sz val="9"/>
        <color rgb="FF404040"/>
        <rFont val="WenQuanYi Zen Hei"/>
        <family val="2"/>
      </rPr>
      <t xml:space="preserve">오른쪽</t>
    </r>
    <r>
      <rPr>
        <sz val="9"/>
        <color rgb="FF404040"/>
        <rFont val="맑은 고딕"/>
        <family val="0"/>
        <charset val="1"/>
      </rPr>
      <t xml:space="preserve">=1</t>
    </r>
    <r>
      <rPr>
        <sz val="9"/>
        <color rgb="FF404040"/>
        <rFont val="WenQuanYi Zen Hei"/>
        <family val="2"/>
      </rPr>
      <t xml:space="preserve">안 최소가 기준</t>
    </r>
  </si>
  <si>
    <r>
      <rPr>
        <b val="true"/>
        <sz val="10"/>
        <color rgb="FF1F3864"/>
        <rFont val="WenQuanYi Zen Hei"/>
        <family val="2"/>
      </rPr>
      <t xml:space="preserve">결론</t>
    </r>
    <r>
      <rPr>
        <b val="true"/>
        <sz val="10"/>
        <color rgb="FF1F3864"/>
        <rFont val="맑은 고딕"/>
        <family val="0"/>
        <charset val="1"/>
      </rPr>
      <t xml:space="preserve">: 2</t>
    </r>
    <r>
      <rPr>
        <b val="true"/>
        <sz val="10"/>
        <color rgb="FF1F3864"/>
        <rFont val="WenQuanYi Zen Hei"/>
        <family val="2"/>
      </rPr>
      <t xml:space="preserve">안</t>
    </r>
    <r>
      <rPr>
        <b val="true"/>
        <sz val="10"/>
        <color rgb="FF1F3864"/>
        <rFont val="맑은 고딕"/>
        <family val="0"/>
        <charset val="1"/>
      </rPr>
      <t xml:space="preserve">(PX30)</t>
    </r>
    <r>
      <rPr>
        <b val="true"/>
        <sz val="10"/>
        <color rgb="FF1F3864"/>
        <rFont val="WenQuanYi Zen Hei"/>
        <family val="2"/>
      </rPr>
      <t xml:space="preserve">은 </t>
    </r>
    <r>
      <rPr>
        <b val="true"/>
        <sz val="10"/>
        <color rgb="FF1F3864"/>
        <rFont val="맑은 고딕"/>
        <family val="0"/>
        <charset val="1"/>
      </rPr>
      <t xml:space="preserve">SoC </t>
    </r>
    <r>
      <rPr>
        <b val="true"/>
        <sz val="10"/>
        <color rgb="FF1F3864"/>
        <rFont val="WenQuanYi Zen Hei"/>
        <family val="2"/>
      </rPr>
      <t xml:space="preserve">단가가 </t>
    </r>
    <r>
      <rPr>
        <b val="true"/>
        <sz val="10"/>
        <color rgb="FF1F3864"/>
        <rFont val="맑은 고딕"/>
        <family val="0"/>
        <charset val="1"/>
      </rPr>
      <t xml:space="preserve">6,780</t>
    </r>
    <r>
      <rPr>
        <b val="true"/>
        <sz val="10"/>
        <color rgb="FF1F3864"/>
        <rFont val="WenQuanYi Zen Hei"/>
        <family val="2"/>
      </rPr>
      <t xml:space="preserve">원으로 저렴하지만 외부 </t>
    </r>
    <r>
      <rPr>
        <b val="true"/>
        <sz val="10"/>
        <color rgb="FF1F3864"/>
        <rFont val="맑은 고딕"/>
        <family val="0"/>
        <charset val="1"/>
      </rPr>
      <t xml:space="preserve">RAM 34,200</t>
    </r>
    <r>
      <rPr>
        <b val="true"/>
        <sz val="10"/>
        <color rgb="FF1F3864"/>
        <rFont val="WenQuanYi Zen Hei"/>
        <family val="2"/>
      </rPr>
      <t xml:space="preserve">원과 </t>
    </r>
    <r>
      <rPr>
        <b val="true"/>
        <sz val="10"/>
        <color rgb="FF1F3864"/>
        <rFont val="맑은 고딕"/>
        <family val="0"/>
        <charset val="1"/>
      </rPr>
      <t xml:space="preserve">eMMC 30,500</t>
    </r>
    <r>
      <rPr>
        <b val="true"/>
        <sz val="10"/>
        <color rgb="FF1F3864"/>
        <rFont val="WenQuanYi Zen Hei"/>
        <family val="2"/>
      </rPr>
      <t xml:space="preserve">원이 붙어 총액이 </t>
    </r>
    <r>
      <rPr>
        <b val="true"/>
        <sz val="10"/>
        <color rgb="FF1F3864"/>
        <rFont val="맑은 고딕"/>
        <family val="0"/>
        <charset val="1"/>
      </rPr>
      <t xml:space="preserve">74,580</t>
    </r>
    <r>
      <rPr>
        <b val="true"/>
        <sz val="10"/>
        <color rgb="FF1F3864"/>
        <rFont val="WenQuanYi Zen Hei"/>
        <family val="2"/>
      </rPr>
      <t xml:space="preserve">원이며 카메라도 빠져 있습니다</t>
    </r>
    <r>
      <rPr>
        <b val="true"/>
        <sz val="10"/>
        <color rgb="FF1F3864"/>
        <rFont val="맑은 고딕"/>
        <family val="0"/>
        <charset val="1"/>
      </rPr>
      <t xml:space="preserve">. 1</t>
    </r>
    <r>
      <rPr>
        <b val="true"/>
        <sz val="10"/>
        <color rgb="FF1F3864"/>
        <rFont val="WenQuanYi Zen Hei"/>
        <family val="2"/>
      </rPr>
      <t xml:space="preserve">안</t>
    </r>
    <r>
      <rPr>
        <b val="true"/>
        <sz val="10"/>
        <color rgb="FF1F3864"/>
        <rFont val="맑은 고딕"/>
        <family val="0"/>
        <charset val="1"/>
      </rPr>
      <t xml:space="preserve">(RV1106G3)</t>
    </r>
    <r>
      <rPr>
        <b val="true"/>
        <sz val="10"/>
        <color rgb="FF1F3864"/>
        <rFont val="WenQuanYi Zen Hei"/>
        <family val="2"/>
      </rPr>
      <t xml:space="preserve">은 </t>
    </r>
    <r>
      <rPr>
        <b val="true"/>
        <sz val="10"/>
        <color rgb="FF1F3864"/>
        <rFont val="맑은 고딕"/>
        <family val="0"/>
        <charset val="1"/>
      </rPr>
      <t xml:space="preserve">RAM </t>
    </r>
    <r>
      <rPr>
        <b val="true"/>
        <sz val="10"/>
        <color rgb="FF1F3864"/>
        <rFont val="WenQuanYi Zen Hei"/>
        <family val="2"/>
      </rPr>
      <t xml:space="preserve">내장으로 카메라까지 포함해 </t>
    </r>
    <r>
      <rPr>
        <b val="true"/>
        <sz val="10"/>
        <color rgb="FF1F3864"/>
        <rFont val="맑은 고딕"/>
        <family val="0"/>
        <charset val="1"/>
      </rPr>
      <t xml:space="preserve">43,850~71,400</t>
    </r>
    <r>
      <rPr>
        <b val="true"/>
        <sz val="10"/>
        <color rgb="FF1F3864"/>
        <rFont val="WenQuanYi Zen Hei"/>
        <family val="2"/>
      </rPr>
      <t xml:space="preserve">원이므로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최종 원가 면에서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안이 유리합니다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</si>
  <si>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RV1106G3 </t>
    </r>
    <r>
      <rPr>
        <b val="true"/>
        <sz val="10"/>
        <color rgb="FFFFFFFF"/>
        <rFont val="WenQuanYi Zen Hei"/>
        <family val="2"/>
      </rPr>
      <t xml:space="preserve">기반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</si>
  <si>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PX30 </t>
    </r>
    <r>
      <rPr>
        <b val="true"/>
        <sz val="10"/>
        <color rgb="FFFFFFFF"/>
        <rFont val="WenQuanYi Zen Hei"/>
        <family val="2"/>
      </rPr>
      <t xml:space="preserve">기반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첨부 이미지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</si>
  <si>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단가 차이 및 특징 비교</t>
  </si>
  <si>
    <r>
      <rPr>
        <sz val="10"/>
        <rFont val="WenQuanYi Zen Hei"/>
        <family val="2"/>
      </rPr>
      <t xml:space="preserve">메인 </t>
    </r>
    <r>
      <rPr>
        <sz val="10"/>
        <rFont val="맑은 고딕"/>
        <family val="0"/>
        <charset val="1"/>
      </rPr>
      <t xml:space="preserve">SoC</t>
    </r>
  </si>
  <si>
    <r>
      <rPr>
        <sz val="10"/>
        <rFont val="맑은 고딕"/>
        <family val="0"/>
        <charset val="1"/>
      </rPr>
      <t xml:space="preserve">RV1106G3 (Rockchip)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29,000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33,000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</si>
  <si>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(Rockchip)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6,780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</si>
  <si>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칩 자체는 매우 저렴하나</t>
    </r>
    <r>
      <rPr>
        <sz val="10"/>
        <rFont val="맑은 고딕"/>
        <family val="0"/>
        <charset val="1"/>
      </rPr>
      <t xml:space="preserve">, RV1106G3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NPU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ISP, DDR </t>
    </r>
    <r>
      <rPr>
        <sz val="10"/>
        <rFont val="WenQuanYi Zen Hei"/>
        <family val="2"/>
      </rPr>
      <t xml:space="preserve">메모리가 내장</t>
    </r>
    <r>
      <rPr>
        <sz val="10"/>
        <rFont val="맑은 고딕"/>
        <family val="0"/>
        <charset val="1"/>
      </rPr>
      <t xml:space="preserve">(SIP)</t>
    </r>
    <r>
      <rPr>
        <sz val="10"/>
        <rFont val="WenQuanYi Zen Hei"/>
        <family val="2"/>
      </rPr>
      <t xml:space="preserve">되어 있어 칩 단가는 높고 주변 회로는 단순해집니다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</si>
  <si>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
</t>
    </r>
    <r>
      <rPr>
        <sz val="10"/>
        <rFont val="WenQuanYi Zen Hei"/>
        <family val="2"/>
      </rPr>
      <t xml:space="preserve">비용 추가 없음</t>
    </r>
  </si>
  <si>
    <r>
      <rPr>
        <sz val="10"/>
        <rFont val="맑은 고딕"/>
        <family val="0"/>
        <charset val="1"/>
      </rPr>
      <t xml:space="preserve">H5TQ4G63EFR (SK Hynix) x 2</t>
    </r>
    <r>
      <rPr>
        <sz val="10"/>
        <rFont val="WenQuanYi Zen Hei"/>
        <family val="2"/>
      </rPr>
      <t xml:space="preserve">개
단가</t>
    </r>
    <r>
      <rPr>
        <sz val="10"/>
        <rFont val="맑은 고딕"/>
        <family val="0"/>
        <charset val="1"/>
      </rPr>
      <t xml:space="preserve">: 34,200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(17,100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x 2)</t>
    </r>
  </si>
  <si>
    <r>
      <rPr>
        <sz val="10"/>
        <rFont val="맑은 고딕"/>
        <family val="0"/>
        <charset val="1"/>
      </rPr>
      <t xml:space="preserve">PX30</t>
    </r>
    <r>
      <rPr>
        <sz val="10"/>
        <rFont val="WenQuanYi Zen Hei"/>
        <family val="2"/>
      </rPr>
      <t xml:space="preserve">은 외부 </t>
    </r>
    <r>
      <rPr>
        <sz val="10"/>
        <rFont val="맑은 고딕"/>
        <family val="0"/>
        <charset val="1"/>
      </rPr>
      <t xml:space="preserve">RAM</t>
    </r>
    <r>
      <rPr>
        <sz val="10"/>
        <rFont val="WenQuanYi Zen Hei"/>
        <family val="2"/>
      </rPr>
      <t xml:space="preserve">이 필수적이며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첨부된 견적에서는 </t>
    </r>
    <r>
      <rPr>
        <sz val="10"/>
        <rFont val="맑은 고딕"/>
        <family val="0"/>
        <charset val="1"/>
      </rPr>
      <t xml:space="preserve">RAM(DDR3 1GB) </t>
    </r>
    <r>
      <rPr>
        <sz val="10"/>
        <rFont val="WenQuanYi Zen Hei"/>
        <family val="2"/>
      </rPr>
      <t xml:space="preserve">비용이 </t>
    </r>
    <r>
      <rPr>
        <sz val="10"/>
        <rFont val="맑은 고딕"/>
        <family val="0"/>
        <charset val="1"/>
      </rPr>
      <t xml:space="preserve">BOM</t>
    </r>
    <r>
      <rPr>
        <sz val="10"/>
        <rFont val="WenQuanYi Zen Hei"/>
        <family val="2"/>
      </rPr>
      <t xml:space="preserve">에서 가장 큰 비중을 차지합니다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</si>
  <si>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8GB eMMC (Samsung)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18,900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</si>
  <si>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KLMAG1JETD (Samsung 16GB)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30,500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</si>
  <si>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첨부 견적의 </t>
    </r>
    <r>
      <rPr>
        <sz val="10"/>
        <rFont val="맑은 고딕"/>
        <family val="0"/>
        <charset val="1"/>
      </rPr>
      <t xml:space="preserve">eMMC</t>
    </r>
    <r>
      <rPr>
        <sz val="10"/>
        <rFont val="WenQuanYi Zen Hei"/>
        <family val="2"/>
      </rPr>
      <t xml:space="preserve">는 단가가 상당히 높게 잡혀 있습니다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유통망이나 산업용 여부에 따라 편차가 큼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</si>
  <si>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맑은 고딕"/>
        <family val="0"/>
        <charset val="1"/>
      </rPr>
      <t xml:space="preserve">SKLWB800DCS.2 (WiFi)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5,400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</si>
  <si>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3,100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</si>
  <si>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</t>
    </r>
    <r>
      <rPr>
        <sz val="10"/>
        <rFont val="WenQuanYi Zen Hei"/>
        <family val="2"/>
      </rPr>
      <t xml:space="preserve">는 보편적으로 널리 쓰이는 가성비 모듈로</t>
    </r>
    <r>
      <rPr>
        <sz val="10"/>
        <rFont val="맑은 고딕"/>
        <family val="0"/>
        <charset val="1"/>
      </rPr>
      <t xml:space="preserve">, Bluetooth</t>
    </r>
    <r>
      <rPr>
        <sz val="10"/>
        <rFont val="WenQuanYi Zen Hei"/>
        <family val="2"/>
      </rPr>
      <t xml:space="preserve">가 추가 지원되는 장점이 있습니다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</si>
  <si>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SC3336 (3MP </t>
    </r>
    <r>
      <rPr>
        <sz val="10"/>
        <rFont val="WenQuanYi Zen Hei"/>
        <family val="2"/>
      </rPr>
      <t xml:space="preserve">모듈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9,450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14,100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</si>
  <si>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내역 없음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추가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</si>
  <si>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보드에서 비전 기능을 구현하려면 카메라 모듈 비용이 추가로 발생합니다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</si>
  <si>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합계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</si>
  <si>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43,850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71,400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포함 풀세트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</si>
  <si>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74,580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미포함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</si>
  <si>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RV1106 </t>
    </r>
    <r>
      <rPr>
        <sz val="10"/>
        <rFont val="WenQuanYi Zen Hei"/>
        <family val="2"/>
      </rPr>
      <t xml:space="preserve">구성이 최종 원가 면에서 훨씬 유리할 가능성이 높습니다</t>
    </r>
    <r>
      <rPr>
        <sz val="1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</si>
</sst>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-#,##0;\-"/>
    <numFmt numFmtId="166" formatCode="[RED]#,##0;[BLUE]\-#,##0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맑은 고딕"/>
      <family val="0"/>
      <charset val="1"/>
    </font>
    <font>
      <b val="true"/>
      <sz val="15"/>
      <color rgb="FF1F3864"/>
      <name val="WenQuanYi Zen Hei"/>
      <family val="2"/>
    </font>
    <font>
      <i val="true"/>
      <sz val="9"/>
      <color rgb="FF7F7F7F"/>
      <name val="WenQuanYi Zen Hei"/>
      <family val="2"/>
    </font>
    <font>
      <i val="true"/>
      <sz val="9"/>
      <color rgb="FF7F7F7F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sz val="10"/>
      <name val="맑은 고딕"/>
      <family val="0"/>
      <charset val="1"/>
    </font>
    <font>
      <sz val="9"/>
      <color rgb="FF404040"/>
      <name val="맑은 고딕"/>
      <family val="0"/>
      <charset val="1"/>
    </font>
    <font>
      <sz val="9"/>
      <color rgb="FF404040"/>
      <name val="WenQuanYi Zen Hei"/>
      <family val="2"/>
    </font>
    <font>
      <sz val="10"/>
      <name val="WenQuanYi Zen Hei"/>
      <family val="2"/>
    </font>
    <font>
      <b val="true"/>
      <sz val="12"/>
      <color rgb="FF1F3864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DEBF7"/>
        <bgColor rgb="FFEDF3F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F3FA"/>
        <bgColor rgb="FFDDEBF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4C7DC"/>
      </left>
      <right style="thin">
        <color rgb="FFB4C7DC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4C7DC"/>
      </left>
      <right style="thin">
        <color rgb="FFB4C7DC"/>
      </right>
      <top style="thin">
        <color rgb="FFB4C7DC"/>
      </top>
      <bottom style="thin">
        <color rgb="FFB4C7DC"/>
      </bottom>
      <diagonal/>
    </border>
    <border diagonalUp="false" diagonalDown="false">
      <left style="thin">
        <color rgb="FFB4C7DC"/>
      </left>
      <right/>
      <top style="thin">
        <color rgb="FFB4C7DC"/>
      </top>
      <bottom style="thin">
        <color rgb="FFB4C7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3FA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5" min="5" style="0" width="26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5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33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3" t="s">
        <v>8</v>
      </c>
      <c r="H4" s="3" t="s">
        <v>9</v>
      </c>
    </row>
    <row r="5" customFormat="false" ht="45.75" hidden="false" customHeight="true" outlineLevel="0" collapsed="false">
      <c r="A5" s="5" t="s">
        <v>10</v>
      </c>
      <c r="B5" s="6" t="s">
        <v>11</v>
      </c>
      <c r="C5" s="7" t="n">
        <v>29000</v>
      </c>
      <c r="D5" s="7" t="n">
        <v>33000</v>
      </c>
      <c r="E5" s="8" t="s">
        <v>12</v>
      </c>
      <c r="F5" s="9" t="n">
        <v>6780</v>
      </c>
      <c r="G5" s="10" t="n">
        <f aca="false">F5-D5</f>
        <v>-26220</v>
      </c>
      <c r="H5" s="11" t="s">
        <v>13</v>
      </c>
    </row>
    <row r="6" customFormat="false" ht="45.75" hidden="false" customHeight="true" outlineLevel="0" collapsed="false">
      <c r="A6" s="12" t="s">
        <v>14</v>
      </c>
      <c r="B6" s="6" t="s">
        <v>15</v>
      </c>
      <c r="C6" s="7" t="n">
        <v>0</v>
      </c>
      <c r="D6" s="7" t="n">
        <v>0</v>
      </c>
      <c r="E6" s="8" t="s">
        <v>16</v>
      </c>
      <c r="F6" s="9" t="n">
        <v>34200</v>
      </c>
      <c r="G6" s="10" t="n">
        <f aca="false">F6-D6</f>
        <v>34200</v>
      </c>
      <c r="H6" s="11" t="s">
        <v>17</v>
      </c>
    </row>
    <row r="7" customFormat="false" ht="45.75" hidden="false" customHeight="true" outlineLevel="0" collapsed="false">
      <c r="A7" s="5" t="s">
        <v>18</v>
      </c>
      <c r="B7" s="6" t="s">
        <v>19</v>
      </c>
      <c r="C7" s="7" t="n">
        <v>2700</v>
      </c>
      <c r="D7" s="7" t="n">
        <v>18900</v>
      </c>
      <c r="E7" s="8" t="s">
        <v>20</v>
      </c>
      <c r="F7" s="9" t="n">
        <v>30500</v>
      </c>
      <c r="G7" s="10" t="n">
        <f aca="false">F7-D7</f>
        <v>11600</v>
      </c>
      <c r="H7" s="13" t="s">
        <v>21</v>
      </c>
    </row>
    <row r="8" customFormat="false" ht="45.75" hidden="false" customHeight="true" outlineLevel="0" collapsed="false">
      <c r="A8" s="5" t="s">
        <v>22</v>
      </c>
      <c r="B8" s="6" t="s">
        <v>23</v>
      </c>
      <c r="C8" s="7" t="n">
        <v>2700</v>
      </c>
      <c r="D8" s="7" t="n">
        <v>5400</v>
      </c>
      <c r="E8" s="8" t="s">
        <v>24</v>
      </c>
      <c r="F8" s="9" t="n">
        <v>3100</v>
      </c>
      <c r="G8" s="10" t="n">
        <f aca="false">F8-D8</f>
        <v>-2300</v>
      </c>
      <c r="H8" s="11" t="s">
        <v>25</v>
      </c>
    </row>
    <row r="9" customFormat="false" ht="45.75" hidden="false" customHeight="true" outlineLevel="0" collapsed="false">
      <c r="A9" s="5" t="s">
        <v>26</v>
      </c>
      <c r="B9" s="6" t="s">
        <v>27</v>
      </c>
      <c r="C9" s="7" t="n">
        <v>9450</v>
      </c>
      <c r="D9" s="7" t="n">
        <v>14100</v>
      </c>
      <c r="E9" s="14" t="s">
        <v>28</v>
      </c>
      <c r="F9" s="9" t="n">
        <v>0</v>
      </c>
      <c r="G9" s="10" t="n">
        <f aca="false">F9-D9</f>
        <v>-14100</v>
      </c>
      <c r="H9" s="11" t="s">
        <v>29</v>
      </c>
    </row>
    <row r="10" customFormat="false" ht="43.5" hidden="false" customHeight="true" outlineLevel="0" collapsed="false">
      <c r="A10" s="15" t="s">
        <v>30</v>
      </c>
      <c r="B10" s="16" t="s">
        <v>31</v>
      </c>
      <c r="C10" s="17" t="n">
        <f aca="false">SUM(C5:C9)</f>
        <v>43850</v>
      </c>
      <c r="D10" s="17" t="n">
        <f aca="false">SUM(D5:D9)</f>
        <v>71400</v>
      </c>
      <c r="E10" s="16" t="s">
        <v>32</v>
      </c>
      <c r="F10" s="17" t="n">
        <f aca="false">SUM(F5:F9)</f>
        <v>74580</v>
      </c>
      <c r="G10" s="18" t="n">
        <f aca="false">F10-D10</f>
        <v>3180</v>
      </c>
      <c r="H10" s="19" t="s">
        <v>33</v>
      </c>
    </row>
    <row r="12" customFormat="false" ht="24" hidden="false" customHeight="true" outlineLevel="0" collapsed="false">
      <c r="A12" s="20" t="s">
        <v>34</v>
      </c>
      <c r="B12" s="20"/>
      <c r="C12" s="20"/>
      <c r="D12" s="20"/>
      <c r="E12" s="20"/>
      <c r="F12" s="20"/>
      <c r="G12" s="20"/>
      <c r="H12" s="20"/>
    </row>
    <row r="13" customFormat="false" ht="19.5" hidden="false" customHeight="true" outlineLevel="0" collapsed="false">
      <c r="A13" s="21" t="s">
        <v>35</v>
      </c>
      <c r="B13" s="21"/>
      <c r="C13" s="21" t="s">
        <v>36</v>
      </c>
      <c r="D13" s="21" t="s">
        <v>37</v>
      </c>
      <c r="E13" s="21" t="s">
        <v>9</v>
      </c>
      <c r="F13" s="21"/>
      <c r="G13" s="21"/>
      <c r="H13" s="21"/>
    </row>
    <row r="14" customFormat="false" ht="21.75" hidden="false" customHeight="true" outlineLevel="0" collapsed="false">
      <c r="A14" s="22" t="s">
        <v>38</v>
      </c>
      <c r="B14" s="22"/>
      <c r="C14" s="23" t="n">
        <f aca="false">C10</f>
        <v>43850</v>
      </c>
      <c r="D14" s="23" t="n">
        <f aca="false">D10</f>
        <v>71400</v>
      </c>
      <c r="E14" s="24" t="s">
        <v>39</v>
      </c>
      <c r="F14" s="24"/>
      <c r="G14" s="24"/>
      <c r="H14" s="24"/>
    </row>
    <row r="15" customFormat="false" ht="21.75" hidden="false" customHeight="true" outlineLevel="0" collapsed="false">
      <c r="A15" s="22" t="s">
        <v>40</v>
      </c>
      <c r="B15" s="22"/>
      <c r="C15" s="23" t="n">
        <f aca="false">F10</f>
        <v>74580</v>
      </c>
      <c r="D15" s="23" t="n">
        <f aca="false">F10</f>
        <v>74580</v>
      </c>
      <c r="E15" s="24" t="s">
        <v>41</v>
      </c>
      <c r="F15" s="24"/>
      <c r="G15" s="24"/>
      <c r="H15" s="24"/>
    </row>
    <row r="16" customFormat="false" ht="21.75" hidden="false" customHeight="true" outlineLevel="0" collapsed="false">
      <c r="A16" s="25" t="s">
        <v>42</v>
      </c>
      <c r="B16" s="25"/>
      <c r="C16" s="26" t="n">
        <f aca="false">F10-D10</f>
        <v>3180</v>
      </c>
      <c r="D16" s="26" t="n">
        <f aca="false">F10-C10</f>
        <v>30730</v>
      </c>
      <c r="E16" s="24" t="s">
        <v>43</v>
      </c>
      <c r="F16" s="24"/>
      <c r="G16" s="24"/>
      <c r="H16" s="24"/>
    </row>
    <row r="18" customFormat="false" ht="45.75" hidden="false" customHeight="true" outlineLevel="0" collapsed="false">
      <c r="A18" s="27" t="s">
        <v>44</v>
      </c>
      <c r="B18" s="27"/>
      <c r="C18" s="27"/>
      <c r="D18" s="27"/>
      <c r="E18" s="27"/>
      <c r="F18" s="27"/>
      <c r="G18" s="27"/>
      <c r="H18" s="27"/>
    </row>
  </sheetData>
  <mergeCells count="12">
    <mergeCell ref="A1:H1"/>
    <mergeCell ref="A2:H2"/>
    <mergeCell ref="A12:H12"/>
    <mergeCell ref="A13:B13"/>
    <mergeCell ref="E13:H13"/>
    <mergeCell ref="A14:B14"/>
    <mergeCell ref="E14:H14"/>
    <mergeCell ref="A15:B15"/>
    <mergeCell ref="E15:H15"/>
    <mergeCell ref="A16:B16"/>
    <mergeCell ref="E16:H16"/>
    <mergeCell ref="A18:H18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30"/>
    <col collapsed="false" customWidth="true" hidden="false" outlineLevel="0" max="4" min="4" style="0" width="50"/>
  </cols>
  <sheetData>
    <row r="1" customFormat="false" ht="24" hidden="false" customHeight="true" outlineLevel="0" collapsed="false">
      <c r="A1" s="28" t="s">
        <v>2</v>
      </c>
      <c r="B1" s="29" t="s">
        <v>45</v>
      </c>
      <c r="C1" s="29" t="s">
        <v>46</v>
      </c>
      <c r="D1" s="28" t="s">
        <v>47</v>
      </c>
    </row>
    <row r="2" customFormat="false" ht="60" hidden="false" customHeight="true" outlineLevel="0" collapsed="false">
      <c r="A2" s="30" t="s">
        <v>48</v>
      </c>
      <c r="B2" s="31" t="s">
        <v>49</v>
      </c>
      <c r="C2" s="31" t="s">
        <v>50</v>
      </c>
      <c r="D2" s="31" t="s">
        <v>51</v>
      </c>
    </row>
    <row r="3" customFormat="false" ht="60" hidden="false" customHeight="true" outlineLevel="0" collapsed="false">
      <c r="A3" s="31" t="s">
        <v>14</v>
      </c>
      <c r="B3" s="31" t="s">
        <v>52</v>
      </c>
      <c r="C3" s="31" t="s">
        <v>53</v>
      </c>
      <c r="D3" s="31" t="s">
        <v>54</v>
      </c>
    </row>
    <row r="4" customFormat="false" ht="60" hidden="false" customHeight="true" outlineLevel="0" collapsed="false">
      <c r="A4" s="30" t="s">
        <v>18</v>
      </c>
      <c r="B4" s="31" t="s">
        <v>55</v>
      </c>
      <c r="C4" s="31" t="s">
        <v>56</v>
      </c>
      <c r="D4" s="30" t="s">
        <v>57</v>
      </c>
    </row>
    <row r="5" customFormat="false" ht="60" hidden="false" customHeight="true" outlineLevel="0" collapsed="false">
      <c r="A5" s="30" t="s">
        <v>22</v>
      </c>
      <c r="B5" s="31" t="s">
        <v>58</v>
      </c>
      <c r="C5" s="31" t="s">
        <v>59</v>
      </c>
      <c r="D5" s="31" t="s">
        <v>60</v>
      </c>
    </row>
    <row r="6" customFormat="false" ht="60" hidden="false" customHeight="true" outlineLevel="0" collapsed="false">
      <c r="A6" s="30" t="s">
        <v>26</v>
      </c>
      <c r="B6" s="31" t="s">
        <v>61</v>
      </c>
      <c r="C6" s="30" t="s">
        <v>62</v>
      </c>
      <c r="D6" s="31" t="s">
        <v>63</v>
      </c>
    </row>
    <row r="7" customFormat="false" ht="60" hidden="false" customHeight="true" outlineLevel="0" collapsed="false">
      <c r="A7" s="30" t="s">
        <v>64</v>
      </c>
      <c r="B7" s="30" t="s">
        <v>65</v>
      </c>
      <c r="C7" s="31" t="s">
        <v>66</v>
      </c>
      <c r="D7" s="31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2026-08-31T01:45:55Z</dcterms:created>
  <dc:creator>openpyxl</dc:creator>
  <dc:description/>
  <dc:language>en-US</dc:language>
  <cp:lastModifiedBy/>
  <dcterms:modified xsi:type="dcterms:W3CDTF">2026-08-31T01:45:55Z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